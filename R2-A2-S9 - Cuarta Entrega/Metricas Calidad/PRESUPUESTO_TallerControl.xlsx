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327D75F-77EC-4549-9D78-5C428461337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E.General" sheetId="1" r:id="rId1"/>
    <sheet name="A-Personal" sheetId="2" r:id="rId2"/>
    <sheet name="B-Equipos" sheetId="4" r:id="rId3"/>
    <sheet name="C-Viajes" sheetId="5" r:id="rId4"/>
    <sheet name="D-Materiales" sheetId="3" r:id="rId5"/>
    <sheet name="E-Ase Tecn. y Soporte" sheetId="8" r:id="rId6"/>
    <sheet name="F-Otros" sheetId="7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7" l="1"/>
  <c r="C33" i="1"/>
  <c r="F33" i="1"/>
  <c r="F9" i="7"/>
  <c r="C34" i="1"/>
  <c r="F34" i="1"/>
  <c r="F10" i="7"/>
  <c r="C35" i="1"/>
  <c r="F35" i="1"/>
  <c r="F11" i="7"/>
  <c r="C36" i="1"/>
  <c r="F36" i="1"/>
  <c r="G33" i="1"/>
  <c r="G34" i="1"/>
  <c r="G35" i="1"/>
  <c r="G36" i="1"/>
  <c r="F7" i="7"/>
  <c r="C32" i="1"/>
  <c r="C29" i="1"/>
  <c r="C28" i="1"/>
  <c r="F8" i="3"/>
  <c r="C24" i="1"/>
  <c r="C20" i="1"/>
  <c r="C19" i="1"/>
  <c r="C15" i="1"/>
  <c r="C16" i="1"/>
  <c r="C14" i="1"/>
  <c r="F8" i="2"/>
  <c r="C8" i="1"/>
  <c r="F9" i="2"/>
  <c r="C9" i="1"/>
  <c r="F10" i="2"/>
  <c r="C10" i="1"/>
  <c r="F7" i="2"/>
  <c r="C7" i="1"/>
  <c r="F19" i="1"/>
  <c r="F9" i="3"/>
  <c r="B15" i="1"/>
  <c r="B16" i="1"/>
  <c r="B14" i="1"/>
  <c r="B11" i="1"/>
  <c r="G29" i="1"/>
  <c r="G20" i="1"/>
  <c r="G15" i="1"/>
  <c r="G16" i="1"/>
  <c r="F9" i="8"/>
  <c r="E28" i="1"/>
  <c r="E30" i="1"/>
  <c r="F25" i="1"/>
  <c r="G25" i="1"/>
  <c r="F7" i="3"/>
  <c r="C23" i="1"/>
  <c r="F8" i="5"/>
  <c r="F9" i="4"/>
  <c r="F8" i="1"/>
  <c r="F9" i="1"/>
  <c r="F10" i="1"/>
  <c r="G24" i="1"/>
  <c r="F7" i="1"/>
  <c r="F12" i="1"/>
  <c r="E7" i="1"/>
  <c r="D7" i="1"/>
  <c r="E10" i="1"/>
  <c r="D10" i="1"/>
  <c r="D8" i="1"/>
  <c r="D9" i="1"/>
  <c r="D12" i="1"/>
  <c r="E8" i="1"/>
  <c r="D23" i="1"/>
  <c r="D26" i="1"/>
  <c r="F23" i="1"/>
  <c r="E9" i="1"/>
  <c r="F12" i="7"/>
  <c r="C37" i="1"/>
  <c r="F9" i="5"/>
  <c r="C21" i="1"/>
  <c r="F10" i="4"/>
  <c r="C17" i="1"/>
  <c r="F21" i="1"/>
  <c r="F11" i="3"/>
  <c r="C26" i="1"/>
  <c r="E32" i="1"/>
  <c r="E37" i="1"/>
  <c r="E26" i="1"/>
  <c r="F26" i="1"/>
  <c r="D28" i="1"/>
  <c r="F28" i="1"/>
  <c r="F30" i="1"/>
  <c r="F10" i="8"/>
  <c r="C30" i="1"/>
  <c r="F11" i="2"/>
  <c r="C12" i="1"/>
  <c r="E19" i="1"/>
  <c r="E21" i="1"/>
  <c r="D19" i="1"/>
  <c r="E12" i="1"/>
  <c r="G9" i="1"/>
  <c r="G8" i="1"/>
  <c r="G10" i="1"/>
  <c r="C38" i="1"/>
  <c r="F32" i="1"/>
  <c r="F37" i="1"/>
  <c r="D32" i="1"/>
  <c r="D37" i="1"/>
  <c r="D21" i="1"/>
  <c r="G28" i="1"/>
  <c r="G30" i="1"/>
  <c r="D30" i="1"/>
  <c r="G23" i="1"/>
  <c r="G26" i="1"/>
  <c r="D17" i="1"/>
  <c r="E14" i="1"/>
  <c r="E17" i="1"/>
  <c r="G7" i="1"/>
  <c r="G19" i="1"/>
  <c r="G21" i="1"/>
  <c r="E38" i="1"/>
  <c r="E39" i="1"/>
  <c r="G12" i="1"/>
  <c r="D38" i="1"/>
  <c r="D39" i="1"/>
  <c r="G32" i="1"/>
  <c r="G37" i="1"/>
  <c r="F17" i="1"/>
  <c r="F38" i="1"/>
  <c r="F39" i="1"/>
  <c r="G14" i="1"/>
  <c r="G17" i="1"/>
  <c r="G39" i="1"/>
  <c r="G38" i="1"/>
</calcChain>
</file>

<file path=xl/sharedStrings.xml><?xml version="1.0" encoding="utf-8"?>
<sst xmlns="http://schemas.openxmlformats.org/spreadsheetml/2006/main" count="109" uniqueCount="77">
  <si>
    <t>Total</t>
  </si>
  <si>
    <t>A. Personal</t>
  </si>
  <si>
    <t>D. Materiales</t>
  </si>
  <si>
    <t xml:space="preserve">Categoría </t>
  </si>
  <si>
    <t>Unidad de medida</t>
  </si>
  <si>
    <t>Cantidad</t>
  </si>
  <si>
    <t xml:space="preserve">Concepto </t>
  </si>
  <si>
    <t>Valor en Pesos Colombianos ( $)</t>
  </si>
  <si>
    <t>Fuente A</t>
  </si>
  <si>
    <t>Fuente B</t>
  </si>
  <si>
    <t>Total ($)</t>
  </si>
  <si>
    <t>Subtotal</t>
  </si>
  <si>
    <t>B. Equipos  y Software</t>
  </si>
  <si>
    <t>C. Viajes y Salidas de Campo</t>
  </si>
  <si>
    <t>Unidad de  Medida</t>
  </si>
  <si>
    <t xml:space="preserve">Subtotal  </t>
  </si>
  <si>
    <t>Precio Unitario ($)</t>
  </si>
  <si>
    <t>Salario - Honorario -  Mensual ($)</t>
  </si>
  <si>
    <t>Importe $</t>
  </si>
  <si>
    <t>Unidad</t>
  </si>
  <si>
    <t>Tarifa diaria en $</t>
  </si>
  <si>
    <t xml:space="preserve"> Viajes y salidas de Campo</t>
  </si>
  <si>
    <t xml:space="preserve">Importe ($) </t>
  </si>
  <si>
    <t xml:space="preserve">Subtotal </t>
  </si>
  <si>
    <t xml:space="preserve">Numero de días por viaje/salida de campo </t>
  </si>
  <si>
    <t>Materiales</t>
  </si>
  <si>
    <t>Recursos propios</t>
  </si>
  <si>
    <t>Asesoría especializada</t>
  </si>
  <si>
    <t>Asesorías técnicas  y  soporte</t>
  </si>
  <si>
    <t xml:space="preserve">Descripción </t>
  </si>
  <si>
    <t>Suscripción Revista</t>
  </si>
  <si>
    <t xml:space="preserve">Otros </t>
  </si>
  <si>
    <t>Descripción</t>
  </si>
  <si>
    <t>E. Otros</t>
  </si>
  <si>
    <t>Equipos y software</t>
  </si>
  <si>
    <t>Número de Viajes y/o salidas de campo</t>
  </si>
  <si>
    <t>Ítem</t>
  </si>
  <si>
    <t>E. Asesorías técnicas  y de soporte</t>
  </si>
  <si>
    <t>Personal requerido para la ejecución del proyecto.</t>
  </si>
  <si>
    <t>Tiempo  de Vinculación en meses</t>
  </si>
  <si>
    <t xml:space="preserve">Descripción del Material </t>
  </si>
  <si>
    <t>Garantias</t>
  </si>
  <si>
    <t>Tasas Impuestos</t>
  </si>
  <si>
    <t>Modelo Generico  Presupuesto para la ejecución del Proyecto de Investigación</t>
  </si>
  <si>
    <r>
      <t>Fuente de Financiamiento</t>
    </r>
    <r>
      <rPr>
        <b/>
        <sz val="12"/>
        <color rgb="FFFF0000"/>
        <rFont val="Calibri"/>
        <family val="2"/>
        <scheme val="minor"/>
      </rPr>
      <t>*</t>
    </r>
  </si>
  <si>
    <t>*Rubros No Financiables con fuentes externas</t>
  </si>
  <si>
    <t>Apoyo Administrativo</t>
  </si>
  <si>
    <t>Seguros</t>
  </si>
  <si>
    <t>Porcentaje</t>
  </si>
  <si>
    <t>Gasolina</t>
  </si>
  <si>
    <t xml:space="preserve">Peajes </t>
  </si>
  <si>
    <t>Docente Investigador</t>
  </si>
  <si>
    <t>Asistente</t>
  </si>
  <si>
    <t>Papeleria</t>
  </si>
  <si>
    <t>Peajes</t>
  </si>
  <si>
    <t>Alimentacion</t>
  </si>
  <si>
    <t>Tasas de inmpuestos</t>
  </si>
  <si>
    <t>Estudiante Desarrolador 1</t>
  </si>
  <si>
    <t>Estudiante Desarrolador 2</t>
  </si>
  <si>
    <t>Docente / Gestor de Conocimiento</t>
  </si>
  <si>
    <t xml:space="preserve">Computador para desarrollo </t>
  </si>
  <si>
    <t>Software de desarrollo utilizado</t>
  </si>
  <si>
    <t xml:space="preserve">Servicio de internet </t>
  </si>
  <si>
    <t>Paquete</t>
  </si>
  <si>
    <t>Mes</t>
  </si>
  <si>
    <t>Impresiones y Papeleria</t>
  </si>
  <si>
    <t>Impresión de Poster Academico</t>
  </si>
  <si>
    <t xml:space="preserve">Material para la presentacion </t>
  </si>
  <si>
    <t>H</t>
  </si>
  <si>
    <t xml:space="preserve">Unidad    </t>
  </si>
  <si>
    <t>Consumo de energia Electrica</t>
  </si>
  <si>
    <t>Almacenamiento/ USB para respaldo</t>
  </si>
  <si>
    <t xml:space="preserve">Unidad  </t>
  </si>
  <si>
    <t>Publicacion / Impresión de documentacion</t>
  </si>
  <si>
    <t>USB / Almacenamiento</t>
  </si>
  <si>
    <t xml:space="preserve">Consumo de energia </t>
  </si>
  <si>
    <t xml:space="preserve">Almacenamiento / USB para respaldo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</si>
</sst>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1" applyNumberFormat="1" applyFont="1"/>
    <xf numFmtId="165" fontId="2" fillId="0" borderId="0" xfId="0" applyNumberFormat="1" applyFont="1"/>
    <xf numFmtId="0" fontId="8" fillId="2" borderId="19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165" fontId="8" fillId="2" borderId="8" xfId="1" applyNumberFormat="1" applyFont="1" applyFill="1" applyBorder="1" applyAlignment="1">
      <alignment horizontal="center" vertical="center" wrapText="1"/>
    </xf>
    <xf numFmtId="165" fontId="8" fillId="2" borderId="14" xfId="1" applyNumberFormat="1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165" fontId="8" fillId="2" borderId="7" xfId="1" applyNumberFormat="1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horizontal="center" vertical="center" wrapText="1"/>
    </xf>
    <xf numFmtId="165" fontId="8" fillId="2" borderId="17" xfId="1" applyNumberFormat="1" applyFont="1" applyFill="1" applyBorder="1" applyAlignment="1">
      <alignment horizontal="center" vertical="center" wrapText="1"/>
    </xf>
    <xf numFmtId="165" fontId="8" fillId="2" borderId="20" xfId="1" applyNumberFormat="1" applyFont="1" applyFill="1" applyBorder="1" applyAlignment="1">
      <alignment horizontal="right" vertical="center" wrapText="1"/>
    </xf>
    <xf numFmtId="0" fontId="8" fillId="2" borderId="19" xfId="0" applyFont="1" applyFill="1" applyBorder="1" applyAlignment="1">
      <alignment horizontal="left" vertical="center" wrapText="1"/>
    </xf>
    <xf numFmtId="165" fontId="8" fillId="2" borderId="14" xfId="1" applyNumberFormat="1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165" fontId="3" fillId="0" borderId="8" xfId="1" applyNumberFormat="1" applyFont="1" applyBorder="1"/>
    <xf numFmtId="165" fontId="3" fillId="0" borderId="14" xfId="1" applyNumberFormat="1" applyFont="1" applyBorder="1"/>
    <xf numFmtId="165" fontId="3" fillId="0" borderId="7" xfId="1" applyNumberFormat="1" applyFont="1" applyBorder="1"/>
    <xf numFmtId="165" fontId="3" fillId="0" borderId="13" xfId="1" applyNumberFormat="1" applyFont="1" applyBorder="1"/>
    <xf numFmtId="0" fontId="3" fillId="0" borderId="0" xfId="0" applyFont="1" applyAlignment="1">
      <alignment vertical="center"/>
    </xf>
    <xf numFmtId="165" fontId="8" fillId="2" borderId="13" xfId="0" applyNumberFormat="1" applyFont="1" applyFill="1" applyBorder="1" applyAlignment="1">
      <alignment horizontal="center" vertical="center" wrapText="1"/>
    </xf>
    <xf numFmtId="165" fontId="5" fillId="2" borderId="16" xfId="0" applyNumberFormat="1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horizontal="right" vertical="center" wrapText="1"/>
    </xf>
    <xf numFmtId="0" fontId="11" fillId="0" borderId="0" xfId="0" applyFont="1"/>
    <xf numFmtId="0" fontId="8" fillId="2" borderId="12" xfId="0" applyFont="1" applyFill="1" applyBorder="1" applyAlignment="1">
      <alignment horizontal="left" vertical="center" wrapText="1"/>
    </xf>
    <xf numFmtId="0" fontId="9" fillId="0" borderId="0" xfId="0" applyFont="1"/>
    <xf numFmtId="165" fontId="5" fillId="2" borderId="16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9" fillId="0" borderId="16" xfId="1" applyNumberFormat="1" applyFont="1" applyBorder="1" applyAlignment="1">
      <alignment horizontal="center"/>
    </xf>
    <xf numFmtId="165" fontId="9" fillId="0" borderId="16" xfId="1" applyNumberFormat="1" applyFont="1" applyBorder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 wrapText="1"/>
    </xf>
    <xf numFmtId="165" fontId="9" fillId="5" borderId="7" xfId="1" applyNumberFormat="1" applyFont="1" applyFill="1" applyBorder="1" applyAlignment="1">
      <alignment horizontal="center" vertical="center" wrapText="1"/>
    </xf>
    <xf numFmtId="165" fontId="3" fillId="6" borderId="7" xfId="1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justify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justify" vertical="center" wrapText="1"/>
    </xf>
    <xf numFmtId="165" fontId="9" fillId="5" borderId="13" xfId="1" applyNumberFormat="1" applyFont="1" applyFill="1" applyBorder="1" applyAlignment="1">
      <alignment horizontal="center" vertical="center" wrapText="1"/>
    </xf>
    <xf numFmtId="165" fontId="3" fillId="6" borderId="13" xfId="1" applyNumberFormat="1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justify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justify" vertical="center" wrapText="1"/>
    </xf>
    <xf numFmtId="165" fontId="9" fillId="5" borderId="17" xfId="1" applyNumberFormat="1" applyFont="1" applyFill="1" applyBorder="1" applyAlignment="1">
      <alignment horizontal="center" vertical="center" wrapText="1"/>
    </xf>
    <xf numFmtId="165" fontId="9" fillId="5" borderId="28" xfId="1" applyNumberFormat="1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165" fontId="9" fillId="0" borderId="25" xfId="1" applyNumberFormat="1" applyFont="1" applyBorder="1" applyAlignment="1">
      <alignment horizontal="center" vertical="center" wrapText="1"/>
    </xf>
    <xf numFmtId="165" fontId="9" fillId="0" borderId="26" xfId="1" applyNumberFormat="1" applyFont="1" applyBorder="1" applyAlignment="1">
      <alignment horizontal="center" vertical="center" wrapText="1"/>
    </xf>
    <xf numFmtId="10" fontId="9" fillId="0" borderId="30" xfId="0" applyNumberFormat="1" applyFont="1" applyBorder="1" applyAlignment="1">
      <alignment horizontal="center" vertical="center"/>
    </xf>
    <xf numFmtId="10" fontId="9" fillId="0" borderId="3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4">
    <cellStyle name="Hipervínculo" xfId="2" builtinId="8" hidden="1"/>
    <cellStyle name="Hipervínculo visitado" xfId="3" builtinId="9" hidden="1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40"/>
  <sheetViews>
    <sheetView tabSelected="1" workbookViewId="0">
      <selection activeCell="B33" sqref="B33"/>
    </sheetView>
  </sheetViews>
  <sheetFormatPr baseColWidth="10" defaultColWidth="10.85546875" defaultRowHeight="15.75" x14ac:dyDescent="0.25"/>
  <cols>
    <col min="1" max="1" width="37.42578125" style="30" customWidth="1"/>
    <col min="2" max="2" width="35.7109375" style="30" customWidth="1"/>
    <col min="3" max="3" width="17.140625" style="42" customWidth="1"/>
    <col min="4" max="5" width="14.85546875" style="42" bestFit="1" customWidth="1"/>
    <col min="6" max="6" width="14.7109375" style="42" bestFit="1" customWidth="1"/>
    <col min="7" max="7" width="14.85546875" style="42" bestFit="1" customWidth="1"/>
    <col min="8" max="16384" width="10.85546875" style="30"/>
  </cols>
  <sheetData>
    <row r="1" spans="2:7" ht="8.25" customHeight="1" thickBot="1" x14ac:dyDescent="0.3"/>
    <row r="2" spans="2:7" ht="19.5" thickBot="1" x14ac:dyDescent="0.3">
      <c r="B2" s="71" t="s">
        <v>43</v>
      </c>
      <c r="C2" s="72"/>
      <c r="D2" s="72"/>
      <c r="E2" s="72"/>
      <c r="F2" s="72"/>
      <c r="G2" s="73"/>
    </row>
    <row r="3" spans="2:7" ht="6" customHeight="1" thickBot="1" x14ac:dyDescent="0.3"/>
    <row r="4" spans="2:7" x14ac:dyDescent="0.25">
      <c r="B4" s="79" t="s">
        <v>36</v>
      </c>
      <c r="C4" s="77" t="s">
        <v>7</v>
      </c>
      <c r="D4" s="74" t="s">
        <v>44</v>
      </c>
      <c r="E4" s="74"/>
      <c r="F4" s="74"/>
      <c r="G4" s="75" t="s">
        <v>10</v>
      </c>
    </row>
    <row r="5" spans="2:7" ht="32.25" thickBot="1" x14ac:dyDescent="0.3">
      <c r="B5" s="80"/>
      <c r="C5" s="78"/>
      <c r="D5" s="56" t="s">
        <v>8</v>
      </c>
      <c r="E5" s="56" t="s">
        <v>9</v>
      </c>
      <c r="F5" s="56" t="s">
        <v>26</v>
      </c>
      <c r="G5" s="76"/>
    </row>
    <row r="6" spans="2:7" x14ac:dyDescent="0.25">
      <c r="B6" s="52" t="s">
        <v>1</v>
      </c>
      <c r="C6" s="53"/>
      <c r="D6" s="54"/>
      <c r="E6" s="54"/>
      <c r="F6" s="54"/>
      <c r="G6" s="55"/>
    </row>
    <row r="7" spans="2:7" x14ac:dyDescent="0.25">
      <c r="B7" s="16" t="s">
        <v>51</v>
      </c>
      <c r="C7" s="44">
        <f>+'A-Personal'!F7</f>
        <v>4000000</v>
      </c>
      <c r="D7" s="44">
        <f>+C7*40%</f>
        <v>1600000</v>
      </c>
      <c r="E7" s="44">
        <f>+C7*40%</f>
        <v>1600000</v>
      </c>
      <c r="F7" s="44">
        <f>+C7*20%</f>
        <v>800000</v>
      </c>
      <c r="G7" s="48">
        <f>+D7+E7+F7</f>
        <v>4000000</v>
      </c>
    </row>
    <row r="8" spans="2:7" x14ac:dyDescent="0.25">
      <c r="B8" s="16" t="s">
        <v>51</v>
      </c>
      <c r="C8" s="44">
        <f>+'A-Personal'!F8</f>
        <v>4000000</v>
      </c>
      <c r="D8" s="44">
        <f t="shared" ref="D8:D10" si="0">+C8*40%</f>
        <v>1600000</v>
      </c>
      <c r="E8" s="44">
        <f t="shared" ref="E8:E10" si="1">+C8*40%</f>
        <v>1600000</v>
      </c>
      <c r="F8" s="44">
        <f t="shared" ref="F8:F10" si="2">+C8*20%</f>
        <v>800000</v>
      </c>
      <c r="G8" s="48">
        <f t="shared" ref="G8:G9" si="3">+D8+E8+F8</f>
        <v>4000000</v>
      </c>
    </row>
    <row r="9" spans="2:7" x14ac:dyDescent="0.25">
      <c r="B9" s="16" t="s">
        <v>52</v>
      </c>
      <c r="C9" s="44">
        <f>+'A-Personal'!F9</f>
        <v>0</v>
      </c>
      <c r="D9" s="44">
        <f t="shared" si="0"/>
        <v>0</v>
      </c>
      <c r="E9" s="44">
        <f t="shared" si="1"/>
        <v>0</v>
      </c>
      <c r="F9" s="44">
        <f t="shared" si="2"/>
        <v>0</v>
      </c>
      <c r="G9" s="48">
        <f t="shared" si="3"/>
        <v>0</v>
      </c>
    </row>
    <row r="10" spans="2:7" x14ac:dyDescent="0.25">
      <c r="B10" s="16" t="s">
        <v>46</v>
      </c>
      <c r="C10" s="44">
        <f>+'A-Personal'!F10</f>
        <v>0</v>
      </c>
      <c r="D10" s="44">
        <f t="shared" si="0"/>
        <v>0</v>
      </c>
      <c r="E10" s="44">
        <f t="shared" si="1"/>
        <v>0</v>
      </c>
      <c r="F10" s="44">
        <f t="shared" si="2"/>
        <v>0</v>
      </c>
      <c r="G10" s="48">
        <f>+D10+E10+F10</f>
        <v>0</v>
      </c>
    </row>
    <row r="11" spans="2:7" x14ac:dyDescent="0.25">
      <c r="B11" s="16" t="str">
        <f>+'A-Personal'!B11</f>
        <v xml:space="preserve">Subtotal </v>
      </c>
      <c r="C11" s="44"/>
      <c r="D11" s="44"/>
      <c r="E11" s="44"/>
      <c r="F11" s="44"/>
      <c r="G11" s="48"/>
    </row>
    <row r="12" spans="2:7" x14ac:dyDescent="0.25">
      <c r="B12" s="49" t="s">
        <v>11</v>
      </c>
      <c r="C12" s="45">
        <f>+'A-Personal'!F11</f>
        <v>8000000</v>
      </c>
      <c r="D12" s="45">
        <f>SUM(D7:D10)</f>
        <v>3200000</v>
      </c>
      <c r="E12" s="45">
        <f t="shared" ref="E12" si="4">SUM(E7:E10)</f>
        <v>3200000</v>
      </c>
      <c r="F12" s="45">
        <f>SUM(F7:F10)</f>
        <v>1600000</v>
      </c>
      <c r="G12" s="50">
        <f>SUM(G7:G10)</f>
        <v>8000000</v>
      </c>
    </row>
    <row r="13" spans="2:7" x14ac:dyDescent="0.25">
      <c r="B13" s="47" t="s">
        <v>12</v>
      </c>
      <c r="C13" s="46"/>
      <c r="D13" s="46"/>
      <c r="E13" s="46"/>
      <c r="F13" s="46"/>
      <c r="G13" s="51"/>
    </row>
    <row r="14" spans="2:7" x14ac:dyDescent="0.25">
      <c r="B14" s="16" t="str">
        <f>+'B-Equipos'!B6</f>
        <v xml:space="preserve">Computador para desarrollo </v>
      </c>
      <c r="C14" s="44">
        <f>+'B-Equipos'!F6</f>
        <v>0</v>
      </c>
      <c r="D14" s="44">
        <v>0</v>
      </c>
      <c r="E14" s="44">
        <f>+C14*0/100</f>
        <v>0</v>
      </c>
      <c r="F14" s="44">
        <v>0</v>
      </c>
      <c r="G14" s="48">
        <f>+F14+E14+D14</f>
        <v>0</v>
      </c>
    </row>
    <row r="15" spans="2:7" x14ac:dyDescent="0.25">
      <c r="B15" s="16" t="str">
        <f>+'B-Equipos'!B7</f>
        <v>Software de desarrollo utilizado</v>
      </c>
      <c r="C15" s="44">
        <f>+'B-Equipos'!F7</f>
        <v>0</v>
      </c>
      <c r="D15" s="44"/>
      <c r="E15" s="44">
        <v>0</v>
      </c>
      <c r="F15" s="44"/>
      <c r="G15" s="48">
        <f t="shared" ref="G15:G16" si="5">+F15+E15+D15</f>
        <v>0</v>
      </c>
    </row>
    <row r="16" spans="2:7" x14ac:dyDescent="0.25">
      <c r="B16" s="16" t="str">
        <f>+'B-Equipos'!B8</f>
        <v xml:space="preserve">Servicio de internet </v>
      </c>
      <c r="C16" s="44">
        <f>+'B-Equipos'!F8</f>
        <v>400000</v>
      </c>
      <c r="D16" s="44"/>
      <c r="E16" s="44">
        <v>0</v>
      </c>
      <c r="F16" s="44">
        <v>400000</v>
      </c>
      <c r="G16" s="48">
        <f t="shared" si="5"/>
        <v>400000</v>
      </c>
    </row>
    <row r="17" spans="2:7" x14ac:dyDescent="0.25">
      <c r="B17" s="49" t="s">
        <v>11</v>
      </c>
      <c r="C17" s="45">
        <f>+'B-Equipos'!F10</f>
        <v>400000</v>
      </c>
      <c r="D17" s="45">
        <f>SUM(D14:D16)</f>
        <v>0</v>
      </c>
      <c r="E17" s="45">
        <f>SUM(E14:E16)</f>
        <v>0</v>
      </c>
      <c r="F17" s="45">
        <f>SUM(F14:F16)</f>
        <v>400000</v>
      </c>
      <c r="G17" s="50">
        <f>SUM(G14:G16)</f>
        <v>400000</v>
      </c>
    </row>
    <row r="18" spans="2:7" x14ac:dyDescent="0.25">
      <c r="B18" s="47" t="s">
        <v>13</v>
      </c>
      <c r="C18" s="46"/>
      <c r="D18" s="46"/>
      <c r="E18" s="46"/>
      <c r="F18" s="46"/>
      <c r="G18" s="51"/>
    </row>
    <row r="19" spans="2:7" x14ac:dyDescent="0.25">
      <c r="B19" s="35" t="s">
        <v>49</v>
      </c>
      <c r="C19" s="44">
        <f>+'C-Viajes'!F6</f>
        <v>0</v>
      </c>
      <c r="D19" s="44">
        <f>+C19*0</f>
        <v>0</v>
      </c>
      <c r="E19" s="44">
        <f>+C19*0/100</f>
        <v>0</v>
      </c>
      <c r="F19" s="44">
        <f>+C19*1</f>
        <v>0</v>
      </c>
      <c r="G19" s="48">
        <f>+D19+E19+F19</f>
        <v>0</v>
      </c>
    </row>
    <row r="20" spans="2:7" x14ac:dyDescent="0.25">
      <c r="B20" s="35" t="s">
        <v>50</v>
      </c>
      <c r="C20" s="44">
        <f>+'C-Viajes'!F7</f>
        <v>0</v>
      </c>
      <c r="D20" s="44"/>
      <c r="E20" s="44"/>
      <c r="F20" s="44">
        <v>0</v>
      </c>
      <c r="G20" s="48">
        <f t="shared" ref="G20" si="6">+D20+E20+F20</f>
        <v>0</v>
      </c>
    </row>
    <row r="21" spans="2:7" x14ac:dyDescent="0.25">
      <c r="B21" s="49" t="s">
        <v>11</v>
      </c>
      <c r="C21" s="45">
        <f>+'C-Viajes'!F9</f>
        <v>0</v>
      </c>
      <c r="D21" s="45">
        <f>SUM(D19:D20)</f>
        <v>0</v>
      </c>
      <c r="E21" s="45">
        <f>SUM(E19:E20)</f>
        <v>0</v>
      </c>
      <c r="F21" s="45">
        <f>SUM(F19:F20)</f>
        <v>0</v>
      </c>
      <c r="G21" s="50">
        <f>SUM(G19:G20)</f>
        <v>0</v>
      </c>
    </row>
    <row r="22" spans="2:7" x14ac:dyDescent="0.25">
      <c r="B22" s="47" t="s">
        <v>2</v>
      </c>
      <c r="C22" s="46"/>
      <c r="D22" s="46"/>
      <c r="E22" s="46"/>
      <c r="F22" s="46"/>
      <c r="G22" s="51"/>
    </row>
    <row r="23" spans="2:7" ht="31.5" x14ac:dyDescent="0.25">
      <c r="B23" s="16" t="s">
        <v>73</v>
      </c>
      <c r="C23" s="44">
        <f>+'D-Materiales'!F7</f>
        <v>50000</v>
      </c>
      <c r="D23" s="44">
        <f>+C23*0/100</f>
        <v>0</v>
      </c>
      <c r="E23" s="44">
        <v>0</v>
      </c>
      <c r="F23" s="44">
        <f>+C23</f>
        <v>50000</v>
      </c>
      <c r="G23" s="48">
        <f>+D23+E23+F23</f>
        <v>50000</v>
      </c>
    </row>
    <row r="24" spans="2:7" x14ac:dyDescent="0.25">
      <c r="B24" s="16" t="s">
        <v>53</v>
      </c>
      <c r="C24" s="44">
        <f>+'D-Materiales'!F8</f>
        <v>40000</v>
      </c>
      <c r="D24" s="44">
        <v>0</v>
      </c>
      <c r="E24" s="44">
        <v>0</v>
      </c>
      <c r="F24" s="44">
        <v>40000</v>
      </c>
      <c r="G24" s="48">
        <f t="shared" ref="G24:G25" si="7">+D24+E24+F24</f>
        <v>40000</v>
      </c>
    </row>
    <row r="25" spans="2:7" x14ac:dyDescent="0.25">
      <c r="B25" s="16" t="s">
        <v>74</v>
      </c>
      <c r="C25" s="44">
        <v>30000</v>
      </c>
      <c r="D25" s="44">
        <v>0</v>
      </c>
      <c r="E25" s="44">
        <v>0</v>
      </c>
      <c r="F25" s="44">
        <f t="shared" ref="F25" si="8">+C25</f>
        <v>30000</v>
      </c>
      <c r="G25" s="48">
        <f t="shared" si="7"/>
        <v>30000</v>
      </c>
    </row>
    <row r="26" spans="2:7" x14ac:dyDescent="0.25">
      <c r="B26" s="49" t="s">
        <v>11</v>
      </c>
      <c r="C26" s="45">
        <f>+'D-Materiales'!F11</f>
        <v>120000</v>
      </c>
      <c r="D26" s="45">
        <f>SUM(D23:D25)</f>
        <v>0</v>
      </c>
      <c r="E26" s="45">
        <f>SUM(E23:E25)</f>
        <v>0</v>
      </c>
      <c r="F26" s="45">
        <f>SUM(F23:F25)</f>
        <v>120000</v>
      </c>
      <c r="G26" s="50">
        <f>SUM(G23:G25)</f>
        <v>120000</v>
      </c>
    </row>
    <row r="27" spans="2:7" ht="14.25" customHeight="1" x14ac:dyDescent="0.25">
      <c r="B27" s="47" t="s">
        <v>37</v>
      </c>
      <c r="C27" s="46"/>
      <c r="D27" s="46"/>
      <c r="E27" s="46"/>
      <c r="F27" s="46"/>
      <c r="G27" s="51"/>
    </row>
    <row r="28" spans="2:7" x14ac:dyDescent="0.25">
      <c r="B28" s="16" t="s">
        <v>27</v>
      </c>
      <c r="C28" s="44">
        <f>+'E-Ase Tecn. y Soporte'!F7</f>
        <v>0</v>
      </c>
      <c r="D28" s="44">
        <f>+C28*0.3</f>
        <v>0</v>
      </c>
      <c r="E28" s="44">
        <f>+C28*0.7</f>
        <v>0</v>
      </c>
      <c r="F28" s="44">
        <f>+C28*0/100</f>
        <v>0</v>
      </c>
      <c r="G28" s="48">
        <f>+D28+E28+F28</f>
        <v>0</v>
      </c>
    </row>
    <row r="29" spans="2:7" x14ac:dyDescent="0.25">
      <c r="B29" s="16" t="s">
        <v>30</v>
      </c>
      <c r="C29" s="44">
        <f>+'E-Ase Tecn. y Soporte'!F8</f>
        <v>0</v>
      </c>
      <c r="D29" s="44">
        <v>0</v>
      </c>
      <c r="E29" s="44">
        <v>0</v>
      </c>
      <c r="F29" s="44">
        <v>0</v>
      </c>
      <c r="G29" s="48">
        <f t="shared" ref="G29" si="9">+D29+E29+F29</f>
        <v>0</v>
      </c>
    </row>
    <row r="30" spans="2:7" x14ac:dyDescent="0.25">
      <c r="B30" s="49" t="s">
        <v>11</v>
      </c>
      <c r="C30" s="45">
        <f>+'E-Ase Tecn. y Soporte'!F10</f>
        <v>0</v>
      </c>
      <c r="D30" s="45">
        <f>SUM(D28:D29)</f>
        <v>0</v>
      </c>
      <c r="E30" s="45">
        <f>SUM(E28:E29)</f>
        <v>0</v>
      </c>
      <c r="F30" s="45">
        <f>SUM(F28:F29)</f>
        <v>0</v>
      </c>
      <c r="G30" s="50">
        <f>SUM(G28:G29)</f>
        <v>0</v>
      </c>
    </row>
    <row r="31" spans="2:7" x14ac:dyDescent="0.25">
      <c r="B31" s="47" t="s">
        <v>33</v>
      </c>
      <c r="C31" s="46"/>
      <c r="D31" s="46"/>
      <c r="E31" s="46"/>
      <c r="F31" s="46"/>
      <c r="G31" s="51"/>
    </row>
    <row r="32" spans="2:7" x14ac:dyDescent="0.25">
      <c r="B32" s="16" t="s">
        <v>75</v>
      </c>
      <c r="C32" s="44">
        <f>+'F-Otros'!F7</f>
        <v>200000</v>
      </c>
      <c r="D32" s="44">
        <f>+C32*0/100</f>
        <v>0</v>
      </c>
      <c r="E32" s="44">
        <f>+C32*0/100</f>
        <v>0</v>
      </c>
      <c r="F32" s="44">
        <f>+C32*1</f>
        <v>200000</v>
      </c>
      <c r="G32" s="48">
        <f>+D32+E32+F32</f>
        <v>200000</v>
      </c>
    </row>
    <row r="33" spans="2:7" ht="31.5" x14ac:dyDescent="0.25">
      <c r="B33" s="16" t="s">
        <v>76</v>
      </c>
      <c r="C33" s="44">
        <f>+'F-Otros'!F8</f>
        <v>30000</v>
      </c>
      <c r="D33" s="44"/>
      <c r="E33" s="44"/>
      <c r="F33" s="44">
        <f t="shared" ref="F33:F36" si="10">+C33*1</f>
        <v>30000</v>
      </c>
      <c r="G33" s="48">
        <f t="shared" ref="G33:G36" si="11">+D33+E33+F33</f>
        <v>30000</v>
      </c>
    </row>
    <row r="34" spans="2:7" x14ac:dyDescent="0.25">
      <c r="B34" s="16" t="s">
        <v>47</v>
      </c>
      <c r="C34" s="44">
        <f>+'F-Otros'!F9</f>
        <v>0</v>
      </c>
      <c r="D34" s="44"/>
      <c r="E34" s="44"/>
      <c r="F34" s="44">
        <f t="shared" si="10"/>
        <v>0</v>
      </c>
      <c r="G34" s="48">
        <f t="shared" si="11"/>
        <v>0</v>
      </c>
    </row>
    <row r="35" spans="2:7" x14ac:dyDescent="0.25">
      <c r="B35" s="16" t="s">
        <v>56</v>
      </c>
      <c r="C35" s="44">
        <f>+'F-Otros'!F10</f>
        <v>0</v>
      </c>
      <c r="D35" s="44"/>
      <c r="E35" s="44"/>
      <c r="F35" s="44">
        <f t="shared" si="10"/>
        <v>0</v>
      </c>
      <c r="G35" s="48">
        <f t="shared" si="11"/>
        <v>0</v>
      </c>
    </row>
    <row r="36" spans="2:7" x14ac:dyDescent="0.25">
      <c r="B36" s="16" t="s">
        <v>55</v>
      </c>
      <c r="C36" s="44">
        <f>+'F-Otros'!F11</f>
        <v>0</v>
      </c>
      <c r="D36" s="44"/>
      <c r="E36" s="44"/>
      <c r="F36" s="44">
        <f t="shared" si="10"/>
        <v>0</v>
      </c>
      <c r="G36" s="48">
        <f t="shared" si="11"/>
        <v>0</v>
      </c>
    </row>
    <row r="37" spans="2:7" ht="16.5" thickBot="1" x14ac:dyDescent="0.3">
      <c r="B37" s="60" t="s">
        <v>11</v>
      </c>
      <c r="C37" s="61">
        <f>+'F-Otros'!F12</f>
        <v>230000</v>
      </c>
      <c r="D37" s="61">
        <f>SUM(D32:D36)</f>
        <v>0</v>
      </c>
      <c r="E37" s="61">
        <f>SUM(E32:E36)</f>
        <v>0</v>
      </c>
      <c r="F37" s="61">
        <f>SUM(F32:F36)</f>
        <v>230000</v>
      </c>
      <c r="G37" s="62">
        <f>SUM(G32:G36)</f>
        <v>230000</v>
      </c>
    </row>
    <row r="38" spans="2:7" s="43" customFormat="1" ht="16.5" thickBot="1" x14ac:dyDescent="0.3">
      <c r="B38" s="64" t="s">
        <v>0</v>
      </c>
      <c r="C38" s="65">
        <f>+C12+C17+C21+C26+C30+C37</f>
        <v>8750000</v>
      </c>
      <c r="D38" s="65">
        <f>+D12+D17+D21+D26+D30+D37</f>
        <v>3200000</v>
      </c>
      <c r="E38" s="65">
        <f>+E12+E17+E21+E26+E30+E37</f>
        <v>3200000</v>
      </c>
      <c r="F38" s="65">
        <f>+F12+F17+F21+F26+F30+F37</f>
        <v>2350000</v>
      </c>
      <c r="G38" s="66">
        <f>+G12+G17+G21+G26+G30+G37</f>
        <v>8750000</v>
      </c>
    </row>
    <row r="39" spans="2:7" ht="16.5" thickBot="1" x14ac:dyDescent="0.3">
      <c r="B39" s="63" t="s">
        <v>48</v>
      </c>
      <c r="C39" s="67">
        <v>1</v>
      </c>
      <c r="D39" s="67">
        <f>+D38/$C$38</f>
        <v>0.36571428571428571</v>
      </c>
      <c r="E39" s="67">
        <f t="shared" ref="E39:F39" si="12">+E38/$C$38</f>
        <v>0.36571428571428571</v>
      </c>
      <c r="F39" s="67">
        <f t="shared" si="12"/>
        <v>0.26857142857142857</v>
      </c>
      <c r="G39" s="68">
        <f>+F39+E39+D39</f>
        <v>1</v>
      </c>
    </row>
    <row r="40" spans="2:7" ht="16.5" thickBot="1" x14ac:dyDescent="0.3">
      <c r="B40" s="69" t="s">
        <v>45</v>
      </c>
      <c r="C40" s="70"/>
    </row>
  </sheetData>
  <mergeCells count="6">
    <mergeCell ref="B40:C40"/>
    <mergeCell ref="B2:G2"/>
    <mergeCell ref="D4:F4"/>
    <mergeCell ref="G4:G5"/>
    <mergeCell ref="C4:C5"/>
    <mergeCell ref="B4:B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2:F12"/>
  <sheetViews>
    <sheetView workbookViewId="0">
      <selection activeCell="F9" sqref="F9"/>
    </sheetView>
  </sheetViews>
  <sheetFormatPr baseColWidth="10" defaultColWidth="10.85546875" defaultRowHeight="15.75" x14ac:dyDescent="0.25"/>
  <cols>
    <col min="1" max="1" width="32.28515625" style="30" customWidth="1"/>
    <col min="2" max="2" width="25.42578125" style="30" customWidth="1"/>
    <col min="3" max="3" width="17.7109375" style="30" customWidth="1"/>
    <col min="4" max="4" width="18.85546875" style="30" customWidth="1"/>
    <col min="5" max="5" width="19.7109375" style="30" customWidth="1"/>
    <col min="6" max="6" width="16" style="30" customWidth="1"/>
    <col min="7" max="16384" width="10.85546875" style="30"/>
  </cols>
  <sheetData>
    <row r="2" spans="2:6" ht="16.5" thickBot="1" x14ac:dyDescent="0.3"/>
    <row r="3" spans="2:6" ht="16.5" thickBot="1" x14ac:dyDescent="0.3">
      <c r="B3" s="88" t="s">
        <v>38</v>
      </c>
      <c r="C3" s="89"/>
      <c r="D3" s="89"/>
      <c r="E3" s="89"/>
      <c r="F3" s="90"/>
    </row>
    <row r="4" spans="2:6" ht="9" customHeight="1" thickBot="1" x14ac:dyDescent="0.3">
      <c r="B4" s="7"/>
    </row>
    <row r="5" spans="2:6" ht="31.5" customHeight="1" x14ac:dyDescent="0.25">
      <c r="B5" s="81" t="s">
        <v>3</v>
      </c>
      <c r="C5" s="91" t="s">
        <v>17</v>
      </c>
      <c r="D5" s="91" t="s">
        <v>5</v>
      </c>
      <c r="E5" s="91" t="s">
        <v>39</v>
      </c>
      <c r="F5" s="83" t="s">
        <v>18</v>
      </c>
    </row>
    <row r="6" spans="2:6" x14ac:dyDescent="0.25">
      <c r="B6" s="82"/>
      <c r="C6" s="92"/>
      <c r="D6" s="92"/>
      <c r="E6" s="92"/>
      <c r="F6" s="84"/>
    </row>
    <row r="7" spans="2:6" x14ac:dyDescent="0.25">
      <c r="B7" s="16" t="s">
        <v>57</v>
      </c>
      <c r="C7" s="18">
        <v>1000000</v>
      </c>
      <c r="D7" s="17">
        <v>1</v>
      </c>
      <c r="E7" s="17">
        <v>4</v>
      </c>
      <c r="F7" s="31">
        <f>+C7*D7*E7</f>
        <v>4000000</v>
      </c>
    </row>
    <row r="8" spans="2:6" x14ac:dyDescent="0.25">
      <c r="B8" s="16" t="s">
        <v>58</v>
      </c>
      <c r="C8" s="18">
        <v>1000000</v>
      </c>
      <c r="D8" s="17">
        <v>1</v>
      </c>
      <c r="E8" s="17">
        <v>4</v>
      </c>
      <c r="F8" s="31">
        <f>+C8*D8*E8</f>
        <v>4000000</v>
      </c>
    </row>
    <row r="9" spans="2:6" ht="31.5" x14ac:dyDescent="0.25">
      <c r="B9" s="16" t="s">
        <v>59</v>
      </c>
      <c r="C9" s="18">
        <v>0</v>
      </c>
      <c r="D9" s="17">
        <v>1</v>
      </c>
      <c r="E9" s="17">
        <v>4</v>
      </c>
      <c r="F9" s="31">
        <f t="shared" ref="F9:F10" si="0">+E9*D9*C9</f>
        <v>0</v>
      </c>
    </row>
    <row r="10" spans="2:6" x14ac:dyDescent="0.25">
      <c r="B10" s="16"/>
      <c r="C10" s="18"/>
      <c r="D10" s="17"/>
      <c r="E10" s="17"/>
      <c r="F10" s="31">
        <f t="shared" si="0"/>
        <v>0</v>
      </c>
    </row>
    <row r="11" spans="2:6" ht="16.5" thickBot="1" x14ac:dyDescent="0.3">
      <c r="B11" s="85" t="s">
        <v>23</v>
      </c>
      <c r="C11" s="86"/>
      <c r="D11" s="86"/>
      <c r="E11" s="87"/>
      <c r="F11" s="32">
        <f>SUM(F7:F10)</f>
        <v>8000000</v>
      </c>
    </row>
    <row r="12" spans="2:6" x14ac:dyDescent="0.25">
      <c r="B12" s="5"/>
    </row>
  </sheetData>
  <mergeCells count="7">
    <mergeCell ref="B5:B6"/>
    <mergeCell ref="F5:F6"/>
    <mergeCell ref="B11:E11"/>
    <mergeCell ref="B3:F3"/>
    <mergeCell ref="C5:C6"/>
    <mergeCell ref="D5:D6"/>
    <mergeCell ref="E5:E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B1:F12"/>
  <sheetViews>
    <sheetView workbookViewId="0">
      <selection activeCell="F9" sqref="F9"/>
    </sheetView>
  </sheetViews>
  <sheetFormatPr baseColWidth="10" defaultColWidth="10.85546875" defaultRowHeight="15" x14ac:dyDescent="0.25"/>
  <cols>
    <col min="1" max="1" width="35.42578125" customWidth="1"/>
    <col min="2" max="2" width="21" customWidth="1"/>
    <col min="3" max="3" width="19.7109375" customWidth="1"/>
    <col min="4" max="4" width="14.28515625" customWidth="1"/>
    <col min="5" max="5" width="21" customWidth="1"/>
    <col min="6" max="6" width="16.42578125" customWidth="1"/>
  </cols>
  <sheetData>
    <row r="1" spans="2:6" ht="15.75" thickBot="1" x14ac:dyDescent="0.3"/>
    <row r="2" spans="2:6" ht="19.5" thickBot="1" x14ac:dyDescent="0.3">
      <c r="B2" s="96" t="s">
        <v>34</v>
      </c>
      <c r="C2" s="97"/>
      <c r="D2" s="97"/>
      <c r="E2" s="97"/>
      <c r="F2" s="98"/>
    </row>
    <row r="3" spans="2:6" ht="9.75" customHeight="1" thickBot="1" x14ac:dyDescent="0.3">
      <c r="B3" s="8"/>
      <c r="C3" s="8"/>
      <c r="D3" s="8"/>
      <c r="E3" s="8"/>
      <c r="F3" s="8"/>
    </row>
    <row r="4" spans="2:6" ht="15" customHeight="1" x14ac:dyDescent="0.25">
      <c r="B4" s="81" t="s">
        <v>32</v>
      </c>
      <c r="C4" s="91" t="s">
        <v>14</v>
      </c>
      <c r="D4" s="91" t="s">
        <v>5</v>
      </c>
      <c r="E4" s="91" t="s">
        <v>16</v>
      </c>
      <c r="F4" s="83" t="s">
        <v>18</v>
      </c>
    </row>
    <row r="5" spans="2:6" ht="15" customHeight="1" thickBot="1" x14ac:dyDescent="0.3">
      <c r="B5" s="101"/>
      <c r="C5" s="99"/>
      <c r="D5" s="99"/>
      <c r="E5" s="99"/>
      <c r="F5" s="100"/>
    </row>
    <row r="6" spans="2:6" ht="31.5" x14ac:dyDescent="0.25">
      <c r="B6" s="12" t="s">
        <v>60</v>
      </c>
      <c r="C6" s="13" t="s">
        <v>19</v>
      </c>
      <c r="D6" s="13">
        <v>2</v>
      </c>
      <c r="E6" s="14">
        <v>0</v>
      </c>
      <c r="F6" s="15">
        <v>0</v>
      </c>
    </row>
    <row r="7" spans="2:6" ht="31.5" x14ac:dyDescent="0.25">
      <c r="B7" s="16" t="s">
        <v>61</v>
      </c>
      <c r="C7" s="17" t="s">
        <v>63</v>
      </c>
      <c r="D7" s="17">
        <v>1</v>
      </c>
      <c r="E7" s="18">
        <v>0</v>
      </c>
      <c r="F7" s="15">
        <v>0</v>
      </c>
    </row>
    <row r="8" spans="2:6" ht="15.75" x14ac:dyDescent="0.25">
      <c r="B8" s="16" t="s">
        <v>62</v>
      </c>
      <c r="C8" s="17" t="s">
        <v>64</v>
      </c>
      <c r="D8" s="17">
        <v>4</v>
      </c>
      <c r="E8" s="18">
        <v>100000</v>
      </c>
      <c r="F8" s="15">
        <v>400000</v>
      </c>
    </row>
    <row r="9" spans="2:6" ht="16.5" thickBot="1" x14ac:dyDescent="0.3">
      <c r="B9" s="19"/>
      <c r="C9" s="20"/>
      <c r="D9" s="20"/>
      <c r="E9" s="21"/>
      <c r="F9" s="22">
        <f t="shared" ref="F7:F9" si="0">+D9*E9</f>
        <v>0</v>
      </c>
    </row>
    <row r="10" spans="2:6" s="34" customFormat="1" ht="16.5" thickBot="1" x14ac:dyDescent="0.3">
      <c r="B10" s="93" t="s">
        <v>15</v>
      </c>
      <c r="C10" s="94"/>
      <c r="D10" s="94"/>
      <c r="E10" s="95"/>
      <c r="F10" s="33">
        <f>SUM(F6:F9)</f>
        <v>400000</v>
      </c>
    </row>
    <row r="11" spans="2:6" x14ac:dyDescent="0.25">
      <c r="B11" s="6"/>
      <c r="C11" s="6"/>
      <c r="D11" s="6"/>
      <c r="E11" s="6"/>
      <c r="F11" s="6"/>
    </row>
    <row r="12" spans="2:6" x14ac:dyDescent="0.25">
      <c r="B12" s="3"/>
    </row>
  </sheetData>
  <mergeCells count="7">
    <mergeCell ref="B10:E10"/>
    <mergeCell ref="B2:F2"/>
    <mergeCell ref="C4:C5"/>
    <mergeCell ref="D4:D5"/>
    <mergeCell ref="E4:E5"/>
    <mergeCell ref="F4:F5"/>
    <mergeCell ref="B4:B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2:F11"/>
  <sheetViews>
    <sheetView workbookViewId="0">
      <selection activeCell="B8" sqref="B8"/>
    </sheetView>
  </sheetViews>
  <sheetFormatPr baseColWidth="10" defaultColWidth="10.85546875" defaultRowHeight="15.75" x14ac:dyDescent="0.25"/>
  <cols>
    <col min="1" max="1" width="31.7109375" style="4" customWidth="1"/>
    <col min="2" max="2" width="26" style="4" customWidth="1"/>
    <col min="3" max="3" width="15.42578125" style="4" customWidth="1"/>
    <col min="4" max="4" width="23.140625" style="4" customWidth="1"/>
    <col min="5" max="5" width="23.7109375" style="4" customWidth="1"/>
    <col min="6" max="6" width="16" style="4" customWidth="1"/>
    <col min="7" max="16384" width="10.85546875" style="4"/>
  </cols>
  <sheetData>
    <row r="2" spans="2:6" ht="16.5" thickBot="1" x14ac:dyDescent="0.3"/>
    <row r="3" spans="2:6" ht="16.5" thickBot="1" x14ac:dyDescent="0.3">
      <c r="B3" s="88" t="s">
        <v>21</v>
      </c>
      <c r="C3" s="89"/>
      <c r="D3" s="89"/>
      <c r="E3" s="89"/>
      <c r="F3" s="90"/>
    </row>
    <row r="4" spans="2:6" ht="16.5" thickBot="1" x14ac:dyDescent="0.3">
      <c r="B4" s="7"/>
    </row>
    <row r="5" spans="2:6" ht="32.25" thickBot="1" x14ac:dyDescent="0.3">
      <c r="B5" s="57" t="s">
        <v>6</v>
      </c>
      <c r="C5" s="58" t="s">
        <v>20</v>
      </c>
      <c r="D5" s="58" t="s">
        <v>24</v>
      </c>
      <c r="E5" s="58" t="s">
        <v>35</v>
      </c>
      <c r="F5" s="59" t="s">
        <v>22</v>
      </c>
    </row>
    <row r="6" spans="2:6" x14ac:dyDescent="0.25">
      <c r="B6" s="23" t="s">
        <v>49</v>
      </c>
      <c r="C6" s="14">
        <v>0</v>
      </c>
      <c r="D6" s="13">
        <v>0</v>
      </c>
      <c r="E6" s="13">
        <v>0</v>
      </c>
      <c r="F6" s="24">
        <v>0</v>
      </c>
    </row>
    <row r="7" spans="2:6" x14ac:dyDescent="0.25">
      <c r="B7" s="35" t="s">
        <v>54</v>
      </c>
      <c r="C7" s="18">
        <v>0</v>
      </c>
      <c r="D7" s="17">
        <v>0</v>
      </c>
      <c r="E7" s="17">
        <v>0</v>
      </c>
      <c r="F7" s="24">
        <v>0</v>
      </c>
    </row>
    <row r="8" spans="2:6" x14ac:dyDescent="0.25">
      <c r="B8" s="16"/>
      <c r="C8" s="18"/>
      <c r="D8" s="17"/>
      <c r="E8" s="17"/>
      <c r="F8" s="25">
        <f t="shared" ref="F8" si="0">+E8*D8*C8</f>
        <v>0</v>
      </c>
    </row>
    <row r="9" spans="2:6" s="36" customFormat="1" ht="16.5" thickBot="1" x14ac:dyDescent="0.3">
      <c r="B9" s="85" t="s">
        <v>23</v>
      </c>
      <c r="C9" s="86"/>
      <c r="D9" s="86"/>
      <c r="E9" s="87"/>
      <c r="F9" s="37">
        <f>SUM(F6:F8)</f>
        <v>0</v>
      </c>
    </row>
    <row r="10" spans="2:6" x14ac:dyDescent="0.25">
      <c r="B10" s="5"/>
    </row>
    <row r="11" spans="2:6" x14ac:dyDescent="0.25">
      <c r="B11" s="5"/>
    </row>
  </sheetData>
  <mergeCells count="2">
    <mergeCell ref="B3:F3"/>
    <mergeCell ref="B9:E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3:F13"/>
  <sheetViews>
    <sheetView workbookViewId="0">
      <selection activeCell="D10" sqref="D10"/>
    </sheetView>
  </sheetViews>
  <sheetFormatPr baseColWidth="10" defaultColWidth="10.85546875" defaultRowHeight="12.75" x14ac:dyDescent="0.2"/>
  <cols>
    <col min="1" max="1" width="40.28515625" style="1" customWidth="1"/>
    <col min="2" max="2" width="20.7109375" style="1" customWidth="1"/>
    <col min="3" max="3" width="17.42578125" style="1" customWidth="1"/>
    <col min="4" max="4" width="12.7109375" style="1" customWidth="1"/>
    <col min="5" max="5" width="17.28515625" style="1" customWidth="1"/>
    <col min="6" max="6" width="23.140625" style="1" customWidth="1"/>
    <col min="7" max="16384" width="10.85546875" style="1"/>
  </cols>
  <sheetData>
    <row r="3" spans="2:6" ht="18.75" x14ac:dyDescent="0.2">
      <c r="B3" s="102" t="s">
        <v>25</v>
      </c>
      <c r="C3" s="102"/>
      <c r="D3" s="102"/>
      <c r="E3" s="102"/>
      <c r="F3" s="102"/>
    </row>
    <row r="4" spans="2:6" ht="13.5" thickBot="1" x14ac:dyDescent="0.25">
      <c r="B4" s="2"/>
    </row>
    <row r="5" spans="2:6" x14ac:dyDescent="0.2">
      <c r="B5" s="81" t="s">
        <v>40</v>
      </c>
      <c r="C5" s="91" t="s">
        <v>4</v>
      </c>
      <c r="D5" s="91" t="s">
        <v>5</v>
      </c>
      <c r="E5" s="91" t="s">
        <v>16</v>
      </c>
      <c r="F5" s="83" t="s">
        <v>18</v>
      </c>
    </row>
    <row r="6" spans="2:6" ht="20.25" customHeight="1" thickBot="1" x14ac:dyDescent="0.25">
      <c r="B6" s="101"/>
      <c r="C6" s="99"/>
      <c r="D6" s="99"/>
      <c r="E6" s="99"/>
      <c r="F6" s="100"/>
    </row>
    <row r="7" spans="2:6" ht="31.5" x14ac:dyDescent="0.25">
      <c r="B7" s="12" t="s">
        <v>65</v>
      </c>
      <c r="C7" s="13" t="s">
        <v>19</v>
      </c>
      <c r="D7" s="13">
        <v>1</v>
      </c>
      <c r="E7" s="26">
        <v>50000</v>
      </c>
      <c r="F7" s="27">
        <f>+E7*D7</f>
        <v>50000</v>
      </c>
    </row>
    <row r="8" spans="2:6" ht="31.5" x14ac:dyDescent="0.25">
      <c r="B8" s="16" t="s">
        <v>66</v>
      </c>
      <c r="C8" s="17" t="s">
        <v>19</v>
      </c>
      <c r="D8" s="17">
        <v>1</v>
      </c>
      <c r="E8" s="28">
        <v>40000</v>
      </c>
      <c r="F8" s="27">
        <f t="shared" ref="F8:F10" si="0">+E8*D8</f>
        <v>40000</v>
      </c>
    </row>
    <row r="9" spans="2:6" ht="31.5" x14ac:dyDescent="0.25">
      <c r="B9" s="16" t="s">
        <v>67</v>
      </c>
      <c r="C9" s="17" t="s">
        <v>19</v>
      </c>
      <c r="D9" s="17">
        <v>1</v>
      </c>
      <c r="E9" s="28">
        <v>30000</v>
      </c>
      <c r="F9" s="27">
        <f t="shared" si="0"/>
        <v>30000</v>
      </c>
    </row>
    <row r="10" spans="2:6" ht="15.75" x14ac:dyDescent="0.25">
      <c r="B10" s="16"/>
      <c r="C10" s="17"/>
      <c r="D10" s="17"/>
      <c r="E10" s="28"/>
      <c r="F10" s="27"/>
    </row>
    <row r="11" spans="2:6" s="38" customFormat="1" ht="16.5" thickBot="1" x14ac:dyDescent="0.3">
      <c r="B11" s="85" t="s">
        <v>23</v>
      </c>
      <c r="C11" s="86"/>
      <c r="D11" s="86"/>
      <c r="E11" s="87"/>
      <c r="F11" s="39">
        <f>SUM(F7:F10)</f>
        <v>120000</v>
      </c>
    </row>
    <row r="12" spans="2:6" x14ac:dyDescent="0.2">
      <c r="B12" s="9"/>
      <c r="C12" s="9"/>
      <c r="D12" s="9"/>
    </row>
    <row r="13" spans="2:6" x14ac:dyDescent="0.2">
      <c r="B13" s="2"/>
    </row>
  </sheetData>
  <mergeCells count="7">
    <mergeCell ref="D5:D6"/>
    <mergeCell ref="E5:E6"/>
    <mergeCell ref="F5:F6"/>
    <mergeCell ref="B11:E11"/>
    <mergeCell ref="B3:F3"/>
    <mergeCell ref="B5:B6"/>
    <mergeCell ref="C5:C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B2:I16"/>
  <sheetViews>
    <sheetView workbookViewId="0">
      <selection activeCell="C9" sqref="C9"/>
    </sheetView>
  </sheetViews>
  <sheetFormatPr baseColWidth="10" defaultColWidth="10.85546875" defaultRowHeight="12.75" x14ac:dyDescent="0.2"/>
  <cols>
    <col min="1" max="1" width="38.28515625" style="1" customWidth="1"/>
    <col min="2" max="2" width="30.42578125" style="1" customWidth="1"/>
    <col min="3" max="3" width="19.42578125" style="1" customWidth="1"/>
    <col min="4" max="4" width="15.7109375" style="1" customWidth="1"/>
    <col min="5" max="5" width="20.42578125" style="1" customWidth="1"/>
    <col min="6" max="6" width="16.42578125" style="1" customWidth="1"/>
    <col min="7" max="7" width="13" style="1" customWidth="1"/>
    <col min="8" max="8" width="10.85546875" style="1"/>
    <col min="9" max="9" width="12" style="1" bestFit="1" customWidth="1"/>
    <col min="10" max="16384" width="10.85546875" style="1"/>
  </cols>
  <sheetData>
    <row r="2" spans="2:9" ht="13.5" thickBot="1" x14ac:dyDescent="0.25"/>
    <row r="3" spans="2:9" ht="19.5" thickBot="1" x14ac:dyDescent="0.35">
      <c r="B3" s="103" t="s">
        <v>28</v>
      </c>
      <c r="C3" s="104"/>
      <c r="D3" s="104"/>
      <c r="E3" s="104"/>
      <c r="F3" s="105"/>
    </row>
    <row r="4" spans="2:9" ht="13.5" thickBot="1" x14ac:dyDescent="0.25"/>
    <row r="5" spans="2:9" x14ac:dyDescent="0.2">
      <c r="B5" s="81" t="s">
        <v>29</v>
      </c>
      <c r="C5" s="91" t="s">
        <v>4</v>
      </c>
      <c r="D5" s="91" t="s">
        <v>5</v>
      </c>
      <c r="E5" s="91" t="s">
        <v>16</v>
      </c>
      <c r="F5" s="83" t="s">
        <v>18</v>
      </c>
    </row>
    <row r="6" spans="2:9" x14ac:dyDescent="0.2">
      <c r="B6" s="82"/>
      <c r="C6" s="92"/>
      <c r="D6" s="92"/>
      <c r="E6" s="92"/>
      <c r="F6" s="84"/>
    </row>
    <row r="7" spans="2:9" ht="15.75" x14ac:dyDescent="0.25">
      <c r="B7" s="16" t="s">
        <v>27</v>
      </c>
      <c r="C7" s="17" t="s">
        <v>68</v>
      </c>
      <c r="D7" s="17">
        <v>0</v>
      </c>
      <c r="E7" s="28">
        <v>0</v>
      </c>
      <c r="F7" s="29">
        <v>0</v>
      </c>
    </row>
    <row r="8" spans="2:9" ht="15.75" x14ac:dyDescent="0.25">
      <c r="B8" s="16" t="s">
        <v>30</v>
      </c>
      <c r="C8" s="17" t="s">
        <v>69</v>
      </c>
      <c r="D8" s="17">
        <v>0</v>
      </c>
      <c r="E8" s="28">
        <v>0</v>
      </c>
      <c r="F8" s="29">
        <v>0</v>
      </c>
    </row>
    <row r="9" spans="2:9" ht="15.75" x14ac:dyDescent="0.25">
      <c r="B9" s="16"/>
      <c r="C9" s="17"/>
      <c r="D9" s="17"/>
      <c r="E9" s="28"/>
      <c r="F9" s="29">
        <f t="shared" ref="F8:F9" si="0">+E9*D9</f>
        <v>0</v>
      </c>
    </row>
    <row r="10" spans="2:9" s="41" customFormat="1" ht="16.5" thickBot="1" x14ac:dyDescent="0.3">
      <c r="B10" s="85" t="s">
        <v>23</v>
      </c>
      <c r="C10" s="86"/>
      <c r="D10" s="86"/>
      <c r="E10" s="87"/>
      <c r="F10" s="40">
        <f>SUM(F7:F9)</f>
        <v>0</v>
      </c>
    </row>
    <row r="16" spans="2:9" x14ac:dyDescent="0.2">
      <c r="G16" s="10"/>
      <c r="I16" s="11"/>
    </row>
  </sheetData>
  <mergeCells count="7">
    <mergeCell ref="B10:E10"/>
    <mergeCell ref="B3:F3"/>
    <mergeCell ref="B5:B6"/>
    <mergeCell ref="C5:C6"/>
    <mergeCell ref="D5:D6"/>
    <mergeCell ref="E5:E6"/>
    <mergeCell ref="F5:F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2:F12"/>
  <sheetViews>
    <sheetView workbookViewId="0">
      <selection activeCell="C9" sqref="C9"/>
    </sheetView>
  </sheetViews>
  <sheetFormatPr baseColWidth="10" defaultColWidth="10.85546875" defaultRowHeight="12.75" x14ac:dyDescent="0.2"/>
  <cols>
    <col min="1" max="1" width="36.85546875" style="1" customWidth="1"/>
    <col min="2" max="2" width="29.28515625" style="1" customWidth="1"/>
    <col min="3" max="3" width="19.42578125" style="1" customWidth="1"/>
    <col min="4" max="4" width="12.42578125" style="1" customWidth="1"/>
    <col min="5" max="5" width="19.7109375" style="1" customWidth="1"/>
    <col min="6" max="6" width="17.42578125" style="1" customWidth="1"/>
    <col min="7" max="16384" width="10.85546875" style="1"/>
  </cols>
  <sheetData>
    <row r="2" spans="2:6" ht="13.5" thickBot="1" x14ac:dyDescent="0.25"/>
    <row r="3" spans="2:6" ht="19.5" thickBot="1" x14ac:dyDescent="0.25">
      <c r="B3" s="96" t="s">
        <v>31</v>
      </c>
      <c r="C3" s="97"/>
      <c r="D3" s="97"/>
      <c r="E3" s="97"/>
      <c r="F3" s="98"/>
    </row>
    <row r="4" spans="2:6" ht="13.5" thickBot="1" x14ac:dyDescent="0.25">
      <c r="B4" s="9"/>
      <c r="C4" s="9"/>
      <c r="D4" s="9"/>
      <c r="E4" s="9"/>
    </row>
    <row r="5" spans="2:6" x14ac:dyDescent="0.2">
      <c r="B5" s="81" t="s">
        <v>32</v>
      </c>
      <c r="C5" s="91" t="s">
        <v>4</v>
      </c>
      <c r="D5" s="91" t="s">
        <v>5</v>
      </c>
      <c r="E5" s="91" t="s">
        <v>16</v>
      </c>
      <c r="F5" s="83" t="s">
        <v>18</v>
      </c>
    </row>
    <row r="6" spans="2:6" ht="16.5" customHeight="1" x14ac:dyDescent="0.2">
      <c r="B6" s="82"/>
      <c r="C6" s="92"/>
      <c r="D6" s="92"/>
      <c r="E6" s="92"/>
      <c r="F6" s="84"/>
    </row>
    <row r="7" spans="2:6" ht="15.75" x14ac:dyDescent="0.25">
      <c r="B7" s="16" t="s">
        <v>70</v>
      </c>
      <c r="C7" s="17" t="s">
        <v>64</v>
      </c>
      <c r="D7" s="17">
        <v>4</v>
      </c>
      <c r="E7" s="28">
        <v>50000</v>
      </c>
      <c r="F7" s="29">
        <f>+E7*D7</f>
        <v>200000</v>
      </c>
    </row>
    <row r="8" spans="2:6" ht="31.5" x14ac:dyDescent="0.25">
      <c r="B8" s="16" t="s">
        <v>71</v>
      </c>
      <c r="C8" s="17" t="s">
        <v>72</v>
      </c>
      <c r="D8" s="17">
        <v>1</v>
      </c>
      <c r="E8" s="28">
        <v>30000</v>
      </c>
      <c r="F8" s="29">
        <f t="shared" ref="F8:F11" si="0">+E8*D8</f>
        <v>30000</v>
      </c>
    </row>
    <row r="9" spans="2:6" ht="15.75" x14ac:dyDescent="0.25">
      <c r="B9" s="16" t="s">
        <v>41</v>
      </c>
      <c r="C9" s="17"/>
      <c r="D9" s="17">
        <v>0</v>
      </c>
      <c r="E9" s="28">
        <v>0</v>
      </c>
      <c r="F9" s="29">
        <f t="shared" si="0"/>
        <v>0</v>
      </c>
    </row>
    <row r="10" spans="2:6" ht="15.75" x14ac:dyDescent="0.25">
      <c r="B10" s="16" t="s">
        <v>42</v>
      </c>
      <c r="C10" s="17"/>
      <c r="D10" s="17">
        <v>0</v>
      </c>
      <c r="E10" s="28">
        <v>0</v>
      </c>
      <c r="F10" s="29">
        <f t="shared" si="0"/>
        <v>0</v>
      </c>
    </row>
    <row r="11" spans="2:6" ht="15.75" x14ac:dyDescent="0.25">
      <c r="B11" s="16" t="s">
        <v>55</v>
      </c>
      <c r="C11" s="17"/>
      <c r="D11" s="17">
        <v>0</v>
      </c>
      <c r="E11" s="28">
        <v>0</v>
      </c>
      <c r="F11" s="29">
        <f t="shared" si="0"/>
        <v>0</v>
      </c>
    </row>
    <row r="12" spans="2:6" s="41" customFormat="1" ht="16.5" thickBot="1" x14ac:dyDescent="0.3">
      <c r="B12" s="85" t="s">
        <v>23</v>
      </c>
      <c r="C12" s="86"/>
      <c r="D12" s="86"/>
      <c r="E12" s="87"/>
      <c r="F12" s="40">
        <f>SUM(F7:F11)</f>
        <v>230000</v>
      </c>
    </row>
  </sheetData>
  <mergeCells count="7">
    <mergeCell ref="B12:E12"/>
    <mergeCell ref="B3:F3"/>
    <mergeCell ref="B5:B6"/>
    <mergeCell ref="C5:C6"/>
    <mergeCell ref="D5:D6"/>
    <mergeCell ref="E5:E6"/>
    <mergeCell ref="F5:F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E.General</vt:lpstr>
      <vt:lpstr>A-Personal</vt:lpstr>
      <vt:lpstr>B-Equipos</vt:lpstr>
      <vt:lpstr>C-Viajes</vt:lpstr>
      <vt:lpstr>D-Materiales</vt:lpstr>
      <vt:lpstr>E-Ase Tecn. y Soporte</vt:lpstr>
      <vt:lpstr>F-Otros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SAMMY JOSUE ARCE MANRIQUE</cp:lastModifiedBy>
  <dcterms:created xsi:type="dcterms:W3CDTF">2013-07-24T21:44:53Z</dcterms:created>
  <dcterms:modified xsi:type="dcterms:W3CDTF">2026-09-29T22:00:37Z</dcterms:modified>
</cp:coreProperties>
</file>