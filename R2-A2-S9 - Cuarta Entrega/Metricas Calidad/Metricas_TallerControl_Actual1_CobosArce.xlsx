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hid\Downloads\"/>
    </mc:Choice>
  </mc:AlternateContent>
  <xr:revisionPtr revIDLastSave="0" documentId="8_{04DB2595-6C45-420C-9AD0-559E7A34C636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CARACTERISTICAS" sheetId="1" r:id="rId1"/>
    <sheet name="ARAÑA SUBCARACTERISTICAS" sheetId="2" r:id="rId2"/>
    <sheet name="ARAÑA METRICAS" sheetId="3" r:id="rId3"/>
  </sheets>
  <definedNames>
    <definedName name="_xlnm.Print_Area" localSheetId="1">'ARAÑA SUBCARACTERISTICAS'!$A$1:$W$30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4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D21" i="2"/>
  <c r="E21" i="2" s="1"/>
  <c r="D20" i="2"/>
  <c r="E20" i="2" s="1"/>
  <c r="D19" i="2"/>
  <c r="C19" i="2" s="1"/>
  <c r="D18" i="2"/>
  <c r="C18" i="2" s="1"/>
  <c r="D17" i="2"/>
  <c r="E17" i="2" s="1"/>
  <c r="D16" i="2"/>
  <c r="C16" i="2" s="1"/>
  <c r="D15" i="2"/>
  <c r="E15" i="2" s="1"/>
  <c r="D14" i="2"/>
  <c r="E14" i="2" s="1"/>
  <c r="D13" i="2"/>
  <c r="E13" i="2" s="1"/>
  <c r="D12" i="2"/>
  <c r="E12" i="2" s="1"/>
  <c r="D11" i="2"/>
  <c r="C11" i="2" s="1"/>
  <c r="E23" i="1"/>
  <c r="I23" i="1" s="1"/>
  <c r="D10" i="2" s="1"/>
  <c r="E22" i="1"/>
  <c r="I22" i="1" s="1"/>
  <c r="C15" i="3" s="1"/>
  <c r="D15" i="3" s="1"/>
  <c r="E21" i="1"/>
  <c r="I21" i="1" s="1"/>
  <c r="E20" i="1"/>
  <c r="I20" i="1" s="1"/>
  <c r="E19" i="1"/>
  <c r="I19" i="1" s="1"/>
  <c r="E15" i="1"/>
  <c r="I15" i="1" s="1"/>
  <c r="E14" i="1"/>
  <c r="I14" i="1" s="1"/>
  <c r="I16" i="1" s="1"/>
  <c r="E10" i="1"/>
  <c r="I10" i="1" s="1"/>
  <c r="C9" i="3" s="1"/>
  <c r="D9" i="3" s="1"/>
  <c r="E9" i="1"/>
  <c r="I9" i="1" s="1"/>
  <c r="C8" i="3" s="1"/>
  <c r="D8" i="3" s="1"/>
  <c r="E5" i="1"/>
  <c r="I5" i="1" s="1"/>
  <c r="C7" i="3" s="1"/>
  <c r="D7" i="3" s="1"/>
  <c r="E4" i="1"/>
  <c r="I4" i="1" s="1"/>
  <c r="C6" i="3" s="1"/>
  <c r="D6" i="3" s="1"/>
  <c r="E3" i="1"/>
  <c r="I3" i="1" s="1"/>
  <c r="C5" i="3" s="1"/>
  <c r="D5" i="3" s="1"/>
  <c r="E2" i="1"/>
  <c r="I2" i="1" s="1"/>
  <c r="C4" i="3" s="1"/>
  <c r="I11" i="1" l="1"/>
  <c r="C15" i="2"/>
  <c r="C17" i="2"/>
  <c r="C14" i="2"/>
  <c r="C20" i="2"/>
  <c r="E16" i="2"/>
  <c r="D7" i="2"/>
  <c r="E7" i="2" s="1"/>
  <c r="C11" i="3"/>
  <c r="D11" i="3" s="1"/>
  <c r="E18" i="2"/>
  <c r="D8" i="2"/>
  <c r="E8" i="2" s="1"/>
  <c r="C12" i="2"/>
  <c r="D9" i="2"/>
  <c r="C14" i="3"/>
  <c r="D14" i="3" s="1"/>
  <c r="E10" i="2"/>
  <c r="C10" i="2"/>
  <c r="D4" i="3"/>
  <c r="I6" i="1"/>
  <c r="D4" i="2" s="1"/>
  <c r="C10" i="3"/>
  <c r="D10" i="3" s="1"/>
  <c r="D6" i="2"/>
  <c r="C13" i="3"/>
  <c r="D13" i="3" s="1"/>
  <c r="E19" i="2"/>
  <c r="C16" i="3"/>
  <c r="D16" i="3" s="1"/>
  <c r="D5" i="2"/>
  <c r="C13" i="2"/>
  <c r="C21" i="2"/>
  <c r="C12" i="3"/>
  <c r="D12" i="3" s="1"/>
  <c r="E11" i="2"/>
  <c r="C8" i="2" l="1"/>
  <c r="C7" i="2"/>
  <c r="E6" i="2"/>
  <c r="C6" i="2"/>
  <c r="E4" i="2"/>
  <c r="C4" i="2"/>
  <c r="E5" i="2"/>
  <c r="C5" i="2"/>
  <c r="C9" i="2"/>
  <c r="E9" i="2"/>
</calcChain>
</file>

<file path=xl/sharedStrings.xml><?xml version="1.0" encoding="utf-8"?>
<sst xmlns="http://schemas.openxmlformats.org/spreadsheetml/2006/main" count="199" uniqueCount="97">
  <si>
    <t>METRICA</t>
  </si>
  <si>
    <t>VRRC</t>
  </si>
  <si>
    <t>PPM</t>
  </si>
  <si>
    <t>ESTADO</t>
  </si>
  <si>
    <t>Alcance de la implementación funcional</t>
  </si>
  <si>
    <t>Estabilidad (o volatilidad) de la especificación funcional</t>
  </si>
  <si>
    <t>Suficiencia funcional</t>
  </si>
  <si>
    <t>Integridad de la implementación funcional</t>
  </si>
  <si>
    <t>Exactitud computacional</t>
  </si>
  <si>
    <t>Precision</t>
  </si>
  <si>
    <t>Intercambiabilidad de datos (basado en el formato de datos)</t>
  </si>
  <si>
    <t>Regulación de interoperabilidad</t>
  </si>
  <si>
    <t>Detección de fallas</t>
  </si>
  <si>
    <t>Remoción de fallos</t>
  </si>
  <si>
    <t>Prevención de fallas</t>
  </si>
  <si>
    <t>Prevención de operación incorrecta</t>
  </si>
  <si>
    <t>Conformidad con la fiabilidad</t>
  </si>
  <si>
    <t>Integridad de la descripción</t>
  </si>
  <si>
    <t>Pendiente</t>
  </si>
  <si>
    <t>Funciones evidentes</t>
  </si>
  <si>
    <t>Comprensibilidad de la función</t>
  </si>
  <si>
    <t>Integridad de la descripción (funciones comprendidas)</t>
  </si>
  <si>
    <t>Conformidad con la usabilidad</t>
  </si>
  <si>
    <t>Tiempo de respuesta</t>
  </si>
  <si>
    <t>Tiempo del rendimiento de procesamiento</t>
  </si>
  <si>
    <t>Plazo de entrega</t>
  </si>
  <si>
    <t>Utilización de recursos</t>
  </si>
  <si>
    <t>Conformidad con la eficiencia</t>
  </si>
  <si>
    <t>Preparación de la función de diagnóstico</t>
  </si>
  <si>
    <t>Facilidad de registrar los cambios</t>
  </si>
  <si>
    <t>Capacidad de control de cambio en el software</t>
  </si>
  <si>
    <t>Localización del impacto de la modificación</t>
  </si>
  <si>
    <t>Impacto del cambio</t>
  </si>
  <si>
    <t>Conformidad con la facilidad de mantenimiento</t>
  </si>
  <si>
    <t>Adaptabilidad de las estructuras de datos</t>
  </si>
  <si>
    <t>Adaptabilidad del ambiente de hardware</t>
  </si>
  <si>
    <t>Adaptabilidad del ambiente organizacional</t>
  </si>
  <si>
    <t>Amigabilidad del usuario</t>
  </si>
  <si>
    <t>Uso continuo de los datos</t>
  </si>
  <si>
    <t>Inclusividad de la función</t>
  </si>
  <si>
    <t>Conformidad con la portabilidad</t>
  </si>
  <si>
    <t>CARACTERISTICA</t>
  </si>
  <si>
    <t>ASPECTO</t>
  </si>
  <si>
    <t>FORMULA</t>
  </si>
  <si>
    <t>FM</t>
  </si>
  <si>
    <t>A</t>
  </si>
  <si>
    <t>B</t>
  </si>
  <si>
    <t>WRR</t>
  </si>
  <si>
    <t>RM</t>
  </si>
  <si>
    <t>FUNDAMENTAR RESPUESTA</t>
  </si>
  <si>
    <t>FUNCIONALIDAD</t>
  </si>
  <si>
    <t>ADECUACIÓN</t>
  </si>
  <si>
    <t>X = 1 - A/B</t>
  </si>
  <si>
    <t>En TallerControl se implementaron las funcionalidades definidas para la gestión básica de un taller de mecánica de motocicletas: registro e inicio de sesión, autenticación y autorización mediante JWT, gestión de usuarios, gestión de servicios, registro y administración de motocicletas, solicitud y gestión de citas, actualización del estado de los servicios y registro de movimientos financieros. Estas funciones corresponden al alcance establecido para el sistema y se encuentran implementadas en los módulos desarrollados.</t>
  </si>
  <si>
    <t>Durante el desarrollo de TallerControl se presentaron ajustes principalmente relacionados con la implementación e integración de las funcionalidades. Entre ellos se encuentran cambios en la unificación de las validaciones entre frontend y backend. Estos cambios permitieron mantener alineado el comportamiento del sistema con las reglas de negocio y mejorar la consistencia de las funcionalidades implementadas.</t>
  </si>
  <si>
    <t>Las funcionalidades implementadas en TallerControl cubren los procesos principales definidos para la gestión básica del taller. El sistema permite registrar y autenticar usuarios, administrar usuarios y servicios, gestionar motocicletas, solicitar y administrar citas, actualizar el estado de los servicios y registrar ingresos y egresos. Además, se incorporaron validaciones tanto en frontend como en backend para controlar datos incorrectos o incompletos.</t>
  </si>
  <si>
    <t>La implementación de TallerControl mantiene correspondencia entre los requerimientos definidos y las funcionalidades desarrolladas. El sistema cuenta con separación por roles, protección de rutas, autenticación mediante JWT y validaciones en frontend y backend. También se realizaron pruebas funcionales, pruebas de integración y análisis estático con SonarQube para verificar el comportamiento de los módulos y la calidad del código.</t>
  </si>
  <si>
    <t>TOTAL</t>
  </si>
  <si>
    <t>EXACTITUD</t>
  </si>
  <si>
    <t>X = A/B</t>
  </si>
  <si>
    <t>En TallerControl se definieron y desarrollaron las funciones principales del sistema de acuerdo con los requerimientos establecidos: autenticación y autorización de usuarios, gestión de usuarios, gestión de servicios, registro y administración de motocicletas, solicitud y gestión de citas, actualización del estado de los servicios y registro de movimientos financieros. Las funcionalidades fueron implementadas en los módulos correspondientes del frontend Angular y backend ASP.NET Core, manteniendo la relación con la base de datos SQL Server.</t>
  </si>
  <si>
    <t>En TallerControl se establecieron validaciones y tipos de datos de acuerdo con la naturaleza de la información manejada por cada módulo. Los datos de usuarios, motocicletas, servicios, citas y movimientos financieros cuentan con restricciones y validaciones tanto en frontend como en backend. Para los valores monetarios se utiliza el tipo decimal y para las fechas se utilizan tipos de fecha y hora, mientras que los formularios validan campos obligatorios, formatos y valores permitidos. Esto permite mantener precisión y consistencia en la información almacenada y procesada por el sistema.</t>
  </si>
  <si>
    <t>INTEROPERABILIDAD</t>
  </si>
  <si>
    <t>COMPATIBILIDAD DE LOS DATOS</t>
  </si>
  <si>
    <t>En TallerControl se intercambia información entre el frontend desarrollado en Angular y el backend desarrollado en ASP.NET Core mediante servicios web y solicitudes HTTP/REST. La comunicación utiliza datos estructurados para consultar, registrar y actualizar la información de usuarios, motocicletas, servicios, citas y movimientos financieros. La separación entre frontend y backend permite que ambas aplicaciones trabajen de forma desacoplada y compartan la información necesaria para el funcionamiento del sistema.</t>
  </si>
  <si>
    <t>CONFORMIDAD CON LA INTEROPERABILIDAD</t>
  </si>
  <si>
    <t>TallerControl implementa mecanismos de interoperabilidad acordes con la arquitectura definida para el sistema. La comunicación entre Angular y ASP.NET Core se realiza mediante HTTP/REST, mientras que la autenticación utiliza JWT para el control de acceso a las funcionalidades protegidas. Además, el backend utiliza una configuración externa para la cadena de conexión a SQL Server y las claves de JWT, permitiendo mantener desacopladas las configuraciones del código fuente y facilitar el funcionamiento en diferentes entornos.</t>
  </si>
  <si>
    <t>FIABILIDAD</t>
  </si>
  <si>
    <t>MADUREZ</t>
  </si>
  <si>
    <t>Durante las pruebas y validaciones realizadas sobre TallerControl se identificaron 9 fallas de un total de 10 fallas estimadas durante el proceso de evaluación. Las situaciones detectadas estuvieron relacionadas principalmente con validaciones de datos, manejo de información, comportamiento de las funcionalidades y comunicación entre los componentes del sistema. La identificación de la mayoría de las fallas permitió realizar las respectivas verificaciones antes de considerar finalizada la implementación. Por lo tanto, se establece A = 9 fallas detectadas y B = 10 fallas estimadas</t>
  </si>
  <si>
    <t>fueron identificados 10 fallos, de los cuales 10 fueron corregidos antes de finalizar el desarrollo y validación del sistema. Las correcciones estuvieron orientadas principalmente a mejorar las validaciones, el procesamiento de información y el comportamiento de las funcionalidades implementadas. Esto permitió que los módulos desarrollados presentaran un funcionamiento estable al momento de finalizar el proyecto.</t>
  </si>
  <si>
    <t>TOLERANCIA A FALLOS</t>
  </si>
  <si>
    <t>se identificaron 10 patrones de falla potenciales relacionados principalmente con el ingreso, procesamiento y salida de información. Para prevenir estos escenarios se implementaron mecanismos como validaciones de formularios, campos obligatorios, restricciones de datos, controles en el backend y validaciones asociadas a las operaciones de usuarios, servicios, motocicletas, citas, inventario y movimientos financieros. De los 10 patrones considerados, 9 cuentan con mecanismos de prevención implementados</t>
  </si>
  <si>
    <t>TallerControl cuenta con mecanismos destinados a prevenir operaciones incorrectas por parte de los usuarios. Entre estos mecanismos se encuentran las validaciones de campos obligatorios, validación de formatos, restricciones de datos, controles de autenticación y autorización, validaciones en los formularios y controles implementados en el backend. Para la evaluación se consideraron 8 operaciones o escenarios susceptibles de ejecución incorrecta, de los cuales 8 cuentan con mecanismos preventivos implementados y validados</t>
  </si>
  <si>
    <t>CONFORMIDAD CON LA FIABILIDAD</t>
  </si>
  <si>
    <t>TallerControl fue desarrollado teniendo en cuenta criterios de fiabilidad relacionados con las reglas de negocio, validaciones, control de acceso, manejo de información y consistencia de las operaciones realizadas por los usuarios. Para la evaluación se establecieron 10 criterios de conformidad relacionados con la fiabilidad, de los cuales 9 fueron cumplidos satisfactoriamente y se identificó 1 criterio con una oportunidad de mejora. Por lo tanto, se establece A = 1 dato no conforme y B = 10 datos de conformidad evaluados</t>
  </si>
  <si>
    <t>SUBCARATERISTICA</t>
  </si>
  <si>
    <t>Adecuación</t>
  </si>
  <si>
    <t>Exactitud</t>
  </si>
  <si>
    <t>Compatibilidad de los datos</t>
  </si>
  <si>
    <t>Conformidad con la interoperabilidad</t>
  </si>
  <si>
    <t>Madurez</t>
  </si>
  <si>
    <t>Tolerancia a fallos</t>
  </si>
  <si>
    <t>USABILIDAD</t>
  </si>
  <si>
    <t>Apropiabilidad</t>
  </si>
  <si>
    <t>Conformidad de uso</t>
  </si>
  <si>
    <t>EFICIENCIA</t>
  </si>
  <si>
    <t>Comportamiento en el tiempo</t>
  </si>
  <si>
    <t>MANTENIBILIDAD</t>
  </si>
  <si>
    <t>Capacidad de ser analizado</t>
  </si>
  <si>
    <t>Facilidad de cambio</t>
  </si>
  <si>
    <t>Estabilidad</t>
  </si>
  <si>
    <t>PORTABILIDAD</t>
  </si>
  <si>
    <t>Adaptabilidad</t>
  </si>
  <si>
    <t>Reemplazabilidad</t>
  </si>
  <si>
    <t>ARAÑA METRICAS</t>
  </si>
  <si>
    <t>ARAÑA SUBCARACTERISTICAS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</si>
</sst>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</font>
    <font>
      <b/>
      <sz val="11"/>
      <color theme="1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4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5" fillId="0" borderId="0" xfId="0" applyFont="1"/>
    <xf numFmtId="0" fontId="6" fillId="0" borderId="0" xfId="0" applyFont="1"/>
    <xf numFmtId="0" fontId="4" fillId="4" borderId="0" xfId="0" applyFont="1" applyFill="1" applyAlignment="1">
      <alignment horizontal="center" vertical="center"/>
    </xf>
    <xf numFmtId="0" fontId="0" fillId="3" borderId="0" xfId="0" applyNumberFormat="1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VRRC VS PPM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'ARAÑA SUBCARACTERISTICAS'!$C$3</c:f>
              <c:strCache>
                <c:ptCount val="1"/>
                <c:pt idx="0">
                  <c:v>VRRC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'ARAÑA SUBCARACTERISTICAS'!$B$4:$B$21</c:f>
              <c:strCache>
                <c:ptCount val="18"/>
                <c:pt idx="0">
                  <c:v>Adecuación</c:v>
                </c:pt>
                <c:pt idx="1">
                  <c:v>Exactitud</c:v>
                </c:pt>
                <c:pt idx="2">
                  <c:v>Compatibilidad de los datos</c:v>
                </c:pt>
                <c:pt idx="3">
                  <c:v>Conformidad con la interoperabilidad</c:v>
                </c:pt>
                <c:pt idx="4">
                  <c:v>Madurez</c:v>
                </c:pt>
                <c:pt idx="5">
                  <c:v>Tolerancia a fallos</c:v>
                </c:pt>
                <c:pt idx="6">
                  <c:v>Conformidad con la fiabilidad</c:v>
                </c:pt>
                <c:pt idx="7">
                  <c:v>Apropiabilidad</c:v>
                </c:pt>
                <c:pt idx="8">
                  <c:v>Conformidad de uso</c:v>
                </c:pt>
                <c:pt idx="9">
                  <c:v>Comportamiento en el tiempo</c:v>
                </c:pt>
                <c:pt idx="10">
                  <c:v>Utilización de recursos</c:v>
                </c:pt>
                <c:pt idx="11">
                  <c:v>Conformidad con la eficiencia</c:v>
                </c:pt>
                <c:pt idx="12">
                  <c:v>Capacidad de ser analizado</c:v>
                </c:pt>
                <c:pt idx="13">
                  <c:v>Facilidad de cambio</c:v>
                </c:pt>
                <c:pt idx="14">
                  <c:v>Estabilidad</c:v>
                </c:pt>
                <c:pt idx="15">
                  <c:v>Conformidad con la facilidad de mantenimiento</c:v>
                </c:pt>
                <c:pt idx="16">
                  <c:v>Adaptabilidad</c:v>
                </c:pt>
                <c:pt idx="17">
                  <c:v>Reemplazabilidad</c:v>
                </c:pt>
              </c:strCache>
            </c:strRef>
          </c:cat>
          <c:val>
            <c:numRef>
              <c:f>'ARAÑA SUBCARACTERISTICAS'!$C$4:$C$21</c:f>
              <c:numCache>
                <c:formatCode>0.0000</c:formatCode>
                <c:ptCount val="18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3-4C50-9E11-7D6852D80E6F}"/>
            </c:ext>
          </c:extLst>
        </c:ser>
        <c:ser>
          <c:idx val="1"/>
          <c:order val="1"/>
          <c:tx>
            <c:strRef>
              <c:f>'ARAÑA SUBCARACTERISTICAS'!$D$3</c:f>
              <c:strCache>
                <c:ptCount val="1"/>
                <c:pt idx="0">
                  <c:v>PPM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'ARAÑA SUBCARACTERISTICAS'!$B$4:$B$21</c:f>
              <c:strCache>
                <c:ptCount val="18"/>
                <c:pt idx="0">
                  <c:v>Adecuación</c:v>
                </c:pt>
                <c:pt idx="1">
                  <c:v>Exactitud</c:v>
                </c:pt>
                <c:pt idx="2">
                  <c:v>Compatibilidad de los datos</c:v>
                </c:pt>
                <c:pt idx="3">
                  <c:v>Conformidad con la interoperabilidad</c:v>
                </c:pt>
                <c:pt idx="4">
                  <c:v>Madurez</c:v>
                </c:pt>
                <c:pt idx="5">
                  <c:v>Tolerancia a fallos</c:v>
                </c:pt>
                <c:pt idx="6">
                  <c:v>Conformidad con la fiabilidad</c:v>
                </c:pt>
                <c:pt idx="7">
                  <c:v>Apropiabilidad</c:v>
                </c:pt>
                <c:pt idx="8">
                  <c:v>Conformidad de uso</c:v>
                </c:pt>
                <c:pt idx="9">
                  <c:v>Comportamiento en el tiempo</c:v>
                </c:pt>
                <c:pt idx="10">
                  <c:v>Utilización de recursos</c:v>
                </c:pt>
                <c:pt idx="11">
                  <c:v>Conformidad con la eficiencia</c:v>
                </c:pt>
                <c:pt idx="12">
                  <c:v>Capacidad de ser analizado</c:v>
                </c:pt>
                <c:pt idx="13">
                  <c:v>Facilidad de cambio</c:v>
                </c:pt>
                <c:pt idx="14">
                  <c:v>Estabilidad</c:v>
                </c:pt>
                <c:pt idx="15">
                  <c:v>Conformidad con la facilidad de mantenimiento</c:v>
                </c:pt>
                <c:pt idx="16">
                  <c:v>Adaptabilidad</c:v>
                </c:pt>
                <c:pt idx="17">
                  <c:v>Reemplazabilidad</c:v>
                </c:pt>
              </c:strCache>
            </c:strRef>
          </c:cat>
          <c:val>
            <c:numRef>
              <c:f>'ARAÑA SUBCARACTERISTICAS'!$D$4:$D$21</c:f>
              <c:numCache>
                <c:formatCode>0.0000</c:formatCode>
                <c:ptCount val="18"/>
                <c:pt idx="0">
                  <c:v>0.81409090909090909</c:v>
                </c:pt>
                <c:pt idx="1">
                  <c:v>0.81</c:v>
                </c:pt>
                <c:pt idx="2">
                  <c:v>0.72000000000000008</c:v>
                </c:pt>
                <c:pt idx="3">
                  <c:v>0.72000000000000008</c:v>
                </c:pt>
                <c:pt idx="4">
                  <c:v>0.85499999999999998</c:v>
                </c:pt>
                <c:pt idx="5">
                  <c:v>0.85499999999999998</c:v>
                </c:pt>
                <c:pt idx="6">
                  <c:v>0.81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23-4C50-9E11-7D6852D80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8057561728395058E-2"/>
          <c:y val="7.0555555555555552E-2"/>
          <c:w val="0.19913163580246915"/>
          <c:h val="4.92621503834059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VRRC VS PPM - MÉTRICAS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27844861111111113"/>
          <c:y val="0.16825372076015249"/>
          <c:w val="0.4687593434343435"/>
          <c:h val="0.68912932913088842"/>
        </c:manualLayout>
      </c:layout>
      <c:radarChart>
        <c:radarStyle val="marker"/>
        <c:varyColors val="1"/>
        <c:ser>
          <c:idx val="0"/>
          <c:order val="0"/>
          <c:tx>
            <c:strRef>
              <c:f>'ARAÑA METRICAS'!$B$3</c:f>
              <c:strCache>
                <c:ptCount val="1"/>
                <c:pt idx="0">
                  <c:v>VRRC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'ARAÑA METRICAS'!$A$4:$A$39</c:f>
              <c:strCache>
                <c:ptCount val="36"/>
                <c:pt idx="0">
                  <c:v>Alcance de la implementación funcional</c:v>
                </c:pt>
                <c:pt idx="1">
                  <c:v>Estabilidad (o volatilidad) de la especificación funcional</c:v>
                </c:pt>
                <c:pt idx="2">
                  <c:v>Suficiencia funcional</c:v>
                </c:pt>
                <c:pt idx="3">
                  <c:v>Integridad de la implementación funcional</c:v>
                </c:pt>
                <c:pt idx="4">
                  <c:v>Exactitud computacional</c:v>
                </c:pt>
                <c:pt idx="5">
                  <c:v>Precision</c:v>
                </c:pt>
                <c:pt idx="6">
                  <c:v>Intercambiabilidad de datos (basado en el formato de datos)</c:v>
                </c:pt>
                <c:pt idx="7">
                  <c:v>Regulación de interoperabilidad</c:v>
                </c:pt>
                <c:pt idx="8">
                  <c:v>Detección de fallas</c:v>
                </c:pt>
                <c:pt idx="9">
                  <c:v>Remoción de fallos</c:v>
                </c:pt>
                <c:pt idx="10">
                  <c:v>Prevención de fallas</c:v>
                </c:pt>
                <c:pt idx="11">
                  <c:v>Prevención de operación incorrecta</c:v>
                </c:pt>
                <c:pt idx="12">
                  <c:v>Conformidad con la fiabilidad</c:v>
                </c:pt>
                <c:pt idx="13">
                  <c:v>Integridad de la descripción</c:v>
                </c:pt>
                <c:pt idx="14">
                  <c:v>Funciones evidentes</c:v>
                </c:pt>
                <c:pt idx="15">
                  <c:v>Comprensibilidad de la función</c:v>
                </c:pt>
                <c:pt idx="16">
                  <c:v>Integridad de la descripción (funciones comprendidas)</c:v>
                </c:pt>
                <c:pt idx="17">
                  <c:v>Conformidad con la usabilidad</c:v>
                </c:pt>
                <c:pt idx="18">
                  <c:v>Tiempo de respuesta</c:v>
                </c:pt>
                <c:pt idx="19">
                  <c:v>Tiempo del rendimiento de procesamiento</c:v>
                </c:pt>
                <c:pt idx="20">
                  <c:v>Plazo de entrega</c:v>
                </c:pt>
                <c:pt idx="21">
                  <c:v>Utilización de recursos</c:v>
                </c:pt>
                <c:pt idx="22">
                  <c:v>Conformidad con la eficiencia</c:v>
                </c:pt>
                <c:pt idx="23">
                  <c:v>Preparación de la función de diagnóstico</c:v>
                </c:pt>
                <c:pt idx="24">
                  <c:v>Facilidad de registrar los cambios</c:v>
                </c:pt>
                <c:pt idx="25">
                  <c:v>Capacidad de control de cambio en el software</c:v>
                </c:pt>
                <c:pt idx="26">
                  <c:v>Localización del impacto de la modificación</c:v>
                </c:pt>
                <c:pt idx="27">
                  <c:v>Impacto del cambio</c:v>
                </c:pt>
                <c:pt idx="28">
                  <c:v>Conformidad con la facilidad de mantenimiento</c:v>
                </c:pt>
                <c:pt idx="29">
                  <c:v>Adaptabilidad de las estructuras de datos</c:v>
                </c:pt>
                <c:pt idx="30">
                  <c:v>Adaptabilidad del ambiente de hardware</c:v>
                </c:pt>
                <c:pt idx="31">
                  <c:v>Adaptabilidad del ambiente organizacional</c:v>
                </c:pt>
                <c:pt idx="32">
                  <c:v>Amigabilidad del usuario</c:v>
                </c:pt>
                <c:pt idx="33">
                  <c:v>Uso continuo de los datos</c:v>
                </c:pt>
                <c:pt idx="34">
                  <c:v>Inclusividad de la función</c:v>
                </c:pt>
                <c:pt idx="35">
                  <c:v>Conformidad con la portabilidad</c:v>
                </c:pt>
              </c:strCache>
            </c:strRef>
          </c:cat>
          <c:val>
            <c:numRef>
              <c:f>'ARAÑA METRICAS'!$B$4:$B$39</c:f>
              <c:numCache>
                <c:formatCode>General</c:formatCode>
                <c:ptCount val="36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A-40CA-A524-225CC6D9D743}"/>
            </c:ext>
          </c:extLst>
        </c:ser>
        <c:ser>
          <c:idx val="1"/>
          <c:order val="1"/>
          <c:tx>
            <c:strRef>
              <c:f>'ARAÑA METRICAS'!$C$3</c:f>
              <c:strCache>
                <c:ptCount val="1"/>
                <c:pt idx="0">
                  <c:v>PPM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'ARAÑA METRICAS'!$A$4:$A$39</c:f>
              <c:strCache>
                <c:ptCount val="36"/>
                <c:pt idx="0">
                  <c:v>Alcance de la implementación funcional</c:v>
                </c:pt>
                <c:pt idx="1">
                  <c:v>Estabilidad (o volatilidad) de la especificación funcional</c:v>
                </c:pt>
                <c:pt idx="2">
                  <c:v>Suficiencia funcional</c:v>
                </c:pt>
                <c:pt idx="3">
                  <c:v>Integridad de la implementación funcional</c:v>
                </c:pt>
                <c:pt idx="4">
                  <c:v>Exactitud computacional</c:v>
                </c:pt>
                <c:pt idx="5">
                  <c:v>Precision</c:v>
                </c:pt>
                <c:pt idx="6">
                  <c:v>Intercambiabilidad de datos (basado en el formato de datos)</c:v>
                </c:pt>
                <c:pt idx="7">
                  <c:v>Regulación de interoperabilidad</c:v>
                </c:pt>
                <c:pt idx="8">
                  <c:v>Detección de fallas</c:v>
                </c:pt>
                <c:pt idx="9">
                  <c:v>Remoción de fallos</c:v>
                </c:pt>
                <c:pt idx="10">
                  <c:v>Prevención de fallas</c:v>
                </c:pt>
                <c:pt idx="11">
                  <c:v>Prevención de operación incorrecta</c:v>
                </c:pt>
                <c:pt idx="12">
                  <c:v>Conformidad con la fiabilidad</c:v>
                </c:pt>
                <c:pt idx="13">
                  <c:v>Integridad de la descripción</c:v>
                </c:pt>
                <c:pt idx="14">
                  <c:v>Funciones evidentes</c:v>
                </c:pt>
                <c:pt idx="15">
                  <c:v>Comprensibilidad de la función</c:v>
                </c:pt>
                <c:pt idx="16">
                  <c:v>Integridad de la descripción (funciones comprendidas)</c:v>
                </c:pt>
                <c:pt idx="17">
                  <c:v>Conformidad con la usabilidad</c:v>
                </c:pt>
                <c:pt idx="18">
                  <c:v>Tiempo de respuesta</c:v>
                </c:pt>
                <c:pt idx="19">
                  <c:v>Tiempo del rendimiento de procesamiento</c:v>
                </c:pt>
                <c:pt idx="20">
                  <c:v>Plazo de entrega</c:v>
                </c:pt>
                <c:pt idx="21">
                  <c:v>Utilización de recursos</c:v>
                </c:pt>
                <c:pt idx="22">
                  <c:v>Conformidad con la eficiencia</c:v>
                </c:pt>
                <c:pt idx="23">
                  <c:v>Preparación de la función de diagnóstico</c:v>
                </c:pt>
                <c:pt idx="24">
                  <c:v>Facilidad de registrar los cambios</c:v>
                </c:pt>
                <c:pt idx="25">
                  <c:v>Capacidad de control de cambio en el software</c:v>
                </c:pt>
                <c:pt idx="26">
                  <c:v>Localización del impacto de la modificación</c:v>
                </c:pt>
                <c:pt idx="27">
                  <c:v>Impacto del cambio</c:v>
                </c:pt>
                <c:pt idx="28">
                  <c:v>Conformidad con la facilidad de mantenimiento</c:v>
                </c:pt>
                <c:pt idx="29">
                  <c:v>Adaptabilidad de las estructuras de datos</c:v>
                </c:pt>
                <c:pt idx="30">
                  <c:v>Adaptabilidad del ambiente de hardware</c:v>
                </c:pt>
                <c:pt idx="31">
                  <c:v>Adaptabilidad del ambiente organizacional</c:v>
                </c:pt>
                <c:pt idx="32">
                  <c:v>Amigabilidad del usuario</c:v>
                </c:pt>
                <c:pt idx="33">
                  <c:v>Uso continuo de los datos</c:v>
                </c:pt>
                <c:pt idx="34">
                  <c:v>Inclusividad de la función</c:v>
                </c:pt>
                <c:pt idx="35">
                  <c:v>Conformidad con la portabilidad</c:v>
                </c:pt>
              </c:strCache>
            </c:strRef>
          </c:cat>
          <c:val>
            <c:numRef>
              <c:f>'ARAÑA METRICAS'!$C$4:$C$39</c:f>
              <c:numCache>
                <c:formatCode>General</c:formatCode>
                <c:ptCount val="36"/>
                <c:pt idx="0">
                  <c:v>0.73636363636363633</c:v>
                </c:pt>
                <c:pt idx="1">
                  <c:v>0.81</c:v>
                </c:pt>
                <c:pt idx="2">
                  <c:v>0.81</c:v>
                </c:pt>
                <c:pt idx="3">
                  <c:v>0.9</c:v>
                </c:pt>
                <c:pt idx="4">
                  <c:v>0.72000000000000008</c:v>
                </c:pt>
                <c:pt idx="5">
                  <c:v>0.9</c:v>
                </c:pt>
                <c:pt idx="6">
                  <c:v>0.72000000000000008</c:v>
                </c:pt>
                <c:pt idx="7">
                  <c:v>0.72000000000000008</c:v>
                </c:pt>
                <c:pt idx="8">
                  <c:v>0.81</c:v>
                </c:pt>
                <c:pt idx="9">
                  <c:v>0.9</c:v>
                </c:pt>
                <c:pt idx="10">
                  <c:v>0.81</c:v>
                </c:pt>
                <c:pt idx="11">
                  <c:v>0.9</c:v>
                </c:pt>
                <c:pt idx="12">
                  <c:v>0.81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1A-40CA-A524-225CC6D9D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2084974747474723E-2"/>
          <c:y val="3.2564102564102561E-2"/>
          <c:w val="0.16292588383838383"/>
          <c:h val="3.9781042221207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266700</xdr:colOff>
      <xdr:row>3</xdr:row>
      <xdr:rowOff>83820</xdr:rowOff>
    </xdr:from>
    <xdr:ext cx="6480000" cy="43504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205740</xdr:colOff>
      <xdr:row>3</xdr:row>
      <xdr:rowOff>152400</xdr:rowOff>
    </xdr:from>
    <xdr:ext cx="7920000" cy="53873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zoomScaleNormal="100" workbookViewId="0">
      <selection activeCell="A16" sqref="A16"/>
    </sheetView>
  </sheetViews>
  <sheetFormatPr baseColWidth="10" defaultColWidth="8.6640625" defaultRowHeight="14.4" x14ac:dyDescent="0.3"/>
  <cols>
    <col min="1" max="1" width="22.88671875" customWidth="1"/>
    <col min="2" max="2" width="25.109375" customWidth="1"/>
    <col min="3" max="3" width="25.44140625" customWidth="1"/>
    <col min="4" max="4" width="13.88671875" customWidth="1"/>
    <col min="5" max="5" width="19.109375" customWidth="1"/>
    <col min="6" max="6" width="17.109375" customWidth="1"/>
    <col min="7" max="7" width="19.109375" customWidth="1"/>
    <col min="8" max="8" width="15.109375" customWidth="1"/>
    <col min="9" max="9" width="12" customWidth="1"/>
    <col min="10" max="10" width="36.44140625" customWidth="1"/>
  </cols>
  <sheetData>
    <row r="1" spans="1:10" ht="30" customHeight="1" x14ac:dyDescent="0.3">
      <c r="A1" s="2" t="s">
        <v>41</v>
      </c>
      <c r="B1" s="2" t="s">
        <v>42</v>
      </c>
      <c r="C1" s="2" t="s">
        <v>0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</row>
    <row r="2" spans="1:10" ht="183.6" customHeight="1" x14ac:dyDescent="0.3">
      <c r="A2" s="19" t="s">
        <v>50</v>
      </c>
      <c r="B2" s="19" t="s">
        <v>51</v>
      </c>
      <c r="C2" s="1" t="s">
        <v>4</v>
      </c>
      <c r="D2" s="3" t="s">
        <v>52</v>
      </c>
      <c r="E2" s="4">
        <f>1-(F2/G2)</f>
        <v>0.81818181818181812</v>
      </c>
      <c r="F2" s="3">
        <v>2</v>
      </c>
      <c r="G2" s="3">
        <v>11</v>
      </c>
      <c r="H2" s="5">
        <v>0.9</v>
      </c>
      <c r="I2" s="4">
        <f>E2*H2</f>
        <v>0.73636363636363633</v>
      </c>
      <c r="J2" s="10" t="s">
        <v>53</v>
      </c>
    </row>
    <row r="3" spans="1:10" ht="195" customHeight="1" x14ac:dyDescent="0.3">
      <c r="A3" s="18"/>
      <c r="B3" s="18"/>
      <c r="C3" s="1" t="s">
        <v>5</v>
      </c>
      <c r="D3" s="3" t="s">
        <v>52</v>
      </c>
      <c r="E3" s="4">
        <f>1-(F3/G3)</f>
        <v>0.9</v>
      </c>
      <c r="F3" s="3">
        <v>1</v>
      </c>
      <c r="G3" s="3">
        <v>10</v>
      </c>
      <c r="H3" s="5">
        <v>0.9</v>
      </c>
      <c r="I3" s="4">
        <f>E3*H3</f>
        <v>0.81</v>
      </c>
      <c r="J3" s="10" t="s">
        <v>54</v>
      </c>
    </row>
    <row r="4" spans="1:10" ht="154.80000000000001" customHeight="1" x14ac:dyDescent="0.3">
      <c r="A4" s="18"/>
      <c r="B4" s="18"/>
      <c r="C4" s="1" t="s">
        <v>6</v>
      </c>
      <c r="D4" s="3" t="s">
        <v>52</v>
      </c>
      <c r="E4" s="4">
        <f>1-(F4/G4)</f>
        <v>0.9</v>
      </c>
      <c r="F4" s="3">
        <v>1</v>
      </c>
      <c r="G4" s="3">
        <v>10</v>
      </c>
      <c r="H4" s="5">
        <v>0.9</v>
      </c>
      <c r="I4" s="4">
        <f>E4*H4</f>
        <v>0.81</v>
      </c>
      <c r="J4" s="11" t="s">
        <v>55</v>
      </c>
    </row>
    <row r="5" spans="1:10" ht="168" customHeight="1" x14ac:dyDescent="0.3">
      <c r="A5" s="18"/>
      <c r="B5" s="18"/>
      <c r="C5" s="1" t="s">
        <v>7</v>
      </c>
      <c r="D5" s="3" t="s">
        <v>52</v>
      </c>
      <c r="E5" s="4">
        <f>1-(F5/G5)</f>
        <v>1</v>
      </c>
      <c r="F5" s="3">
        <v>0</v>
      </c>
      <c r="G5" s="3">
        <v>10</v>
      </c>
      <c r="H5" s="5">
        <v>0.9</v>
      </c>
      <c r="I5" s="4">
        <f>E5*H5</f>
        <v>0.9</v>
      </c>
      <c r="J5" s="11" t="s">
        <v>56</v>
      </c>
    </row>
    <row r="6" spans="1:10" x14ac:dyDescent="0.3">
      <c r="A6" s="2" t="s">
        <v>57</v>
      </c>
      <c r="I6" s="6">
        <f>AVERAGE(I2:I5)</f>
        <v>0.81409090909090909</v>
      </c>
    </row>
    <row r="8" spans="1:10" ht="35.4" customHeight="1" x14ac:dyDescent="0.3">
      <c r="A8" s="2" t="s">
        <v>41</v>
      </c>
      <c r="B8" s="2" t="s">
        <v>42</v>
      </c>
      <c r="C8" s="2" t="s">
        <v>0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47</v>
      </c>
      <c r="I8" s="2" t="s">
        <v>48</v>
      </c>
      <c r="J8" s="2" t="s">
        <v>49</v>
      </c>
    </row>
    <row r="9" spans="1:10" ht="199.2" customHeight="1" x14ac:dyDescent="0.3">
      <c r="A9" s="19" t="s">
        <v>50</v>
      </c>
      <c r="B9" s="17" t="s">
        <v>58</v>
      </c>
      <c r="C9" s="7" t="s">
        <v>8</v>
      </c>
      <c r="D9" s="7" t="s">
        <v>59</v>
      </c>
      <c r="E9" s="4">
        <f>F9/G9</f>
        <v>0.8</v>
      </c>
      <c r="F9" s="3">
        <v>4</v>
      </c>
      <c r="G9" s="3">
        <v>5</v>
      </c>
      <c r="H9" s="5">
        <v>0.9</v>
      </c>
      <c r="I9" s="4">
        <f>E9*H9</f>
        <v>0.72000000000000008</v>
      </c>
      <c r="J9" s="10" t="s">
        <v>60</v>
      </c>
    </row>
    <row r="10" spans="1:10" ht="206.4" customHeight="1" x14ac:dyDescent="0.3">
      <c r="A10" s="18"/>
      <c r="B10" s="18"/>
      <c r="C10" s="7" t="s">
        <v>9</v>
      </c>
      <c r="D10" s="7" t="s">
        <v>59</v>
      </c>
      <c r="E10" s="4">
        <f>F10/G10</f>
        <v>1</v>
      </c>
      <c r="F10" s="3">
        <v>5</v>
      </c>
      <c r="G10" s="3">
        <v>5</v>
      </c>
      <c r="H10" s="5">
        <v>0.9</v>
      </c>
      <c r="I10" s="4">
        <f>E10*H10</f>
        <v>0.9</v>
      </c>
      <c r="J10" s="10" t="s">
        <v>61</v>
      </c>
    </row>
    <row r="11" spans="1:10" x14ac:dyDescent="0.3">
      <c r="A11" s="2" t="s">
        <v>57</v>
      </c>
      <c r="I11" s="6">
        <f>AVERAGE(I7:I10)</f>
        <v>0.81</v>
      </c>
    </row>
    <row r="13" spans="1:10" x14ac:dyDescent="0.3">
      <c r="A13" s="2" t="s">
        <v>41</v>
      </c>
      <c r="B13" s="2" t="s">
        <v>42</v>
      </c>
      <c r="C13" s="2" t="s">
        <v>0</v>
      </c>
      <c r="D13" s="2" t="s">
        <v>43</v>
      </c>
      <c r="E13" s="2" t="s">
        <v>44</v>
      </c>
      <c r="F13" s="2" t="s">
        <v>45</v>
      </c>
      <c r="G13" s="2" t="s">
        <v>46</v>
      </c>
      <c r="H13" s="2" t="s">
        <v>47</v>
      </c>
      <c r="I13" s="2" t="s">
        <v>48</v>
      </c>
      <c r="J13" s="2" t="s">
        <v>49</v>
      </c>
    </row>
    <row r="14" spans="1:10" ht="184.8" customHeight="1" x14ac:dyDescent="0.3">
      <c r="A14" s="20" t="s">
        <v>62</v>
      </c>
      <c r="B14" s="10" t="s">
        <v>63</v>
      </c>
      <c r="C14" s="1" t="s">
        <v>10</v>
      </c>
      <c r="D14" s="3" t="s">
        <v>59</v>
      </c>
      <c r="E14" s="4">
        <f>F14/G14</f>
        <v>0.8</v>
      </c>
      <c r="F14" s="3">
        <v>4</v>
      </c>
      <c r="G14" s="3">
        <v>5</v>
      </c>
      <c r="H14" s="5">
        <v>0.9</v>
      </c>
      <c r="I14" s="4">
        <f>E14*H14</f>
        <v>0.72000000000000008</v>
      </c>
      <c r="J14" s="10" t="s">
        <v>64</v>
      </c>
    </row>
    <row r="15" spans="1:10" ht="201.6" customHeight="1" x14ac:dyDescent="0.3">
      <c r="A15" s="18"/>
      <c r="B15" s="1" t="s">
        <v>65</v>
      </c>
      <c r="C15" s="1" t="s">
        <v>11</v>
      </c>
      <c r="D15" s="3" t="s">
        <v>59</v>
      </c>
      <c r="E15" s="4">
        <f>F15/G15</f>
        <v>0.8</v>
      </c>
      <c r="F15" s="3">
        <v>4</v>
      </c>
      <c r="G15" s="3">
        <v>5</v>
      </c>
      <c r="H15" s="5">
        <v>0.9</v>
      </c>
      <c r="I15" s="4">
        <f>E15*H15</f>
        <v>0.72000000000000008</v>
      </c>
      <c r="J15" s="10" t="s">
        <v>66</v>
      </c>
    </row>
    <row r="16" spans="1:10" x14ac:dyDescent="0.3">
      <c r="A16" s="2" t="s">
        <v>57</v>
      </c>
      <c r="I16" s="6">
        <f>AVERAGE(I12:I15)</f>
        <v>0.72000000000000008</v>
      </c>
    </row>
    <row r="18" spans="1:10" x14ac:dyDescent="0.3">
      <c r="A18" s="2" t="s">
        <v>41</v>
      </c>
      <c r="B18" s="2" t="s">
        <v>42</v>
      </c>
      <c r="C18" s="2" t="s">
        <v>0</v>
      </c>
      <c r="D18" s="2" t="s">
        <v>43</v>
      </c>
      <c r="E18" s="2" t="s">
        <v>44</v>
      </c>
      <c r="F18" s="2" t="s">
        <v>45</v>
      </c>
      <c r="G18" s="2" t="s">
        <v>46</v>
      </c>
      <c r="H18" s="2" t="s">
        <v>47</v>
      </c>
      <c r="I18" s="2" t="s">
        <v>48</v>
      </c>
      <c r="J18" s="2" t="s">
        <v>49</v>
      </c>
    </row>
    <row r="19" spans="1:10" ht="231.6" customHeight="1" x14ac:dyDescent="0.3">
      <c r="A19" s="20" t="s">
        <v>67</v>
      </c>
      <c r="B19" s="20" t="s">
        <v>68</v>
      </c>
      <c r="C19" s="10" t="s">
        <v>12</v>
      </c>
      <c r="D19" s="3" t="s">
        <v>59</v>
      </c>
      <c r="E19" s="4">
        <f>F19/G19</f>
        <v>0.9</v>
      </c>
      <c r="F19" s="3">
        <v>9</v>
      </c>
      <c r="G19" s="3">
        <v>10</v>
      </c>
      <c r="H19" s="5">
        <v>0.9</v>
      </c>
      <c r="I19" s="4">
        <f>E19*H19</f>
        <v>0.81</v>
      </c>
      <c r="J19" s="10" t="s">
        <v>69</v>
      </c>
    </row>
    <row r="20" spans="1:10" ht="165" customHeight="1" x14ac:dyDescent="0.3">
      <c r="A20" s="18"/>
      <c r="B20" s="18"/>
      <c r="C20" s="10" t="s">
        <v>13</v>
      </c>
      <c r="D20" s="3" t="s">
        <v>59</v>
      </c>
      <c r="E20" s="4">
        <f>F20/G20</f>
        <v>1</v>
      </c>
      <c r="F20" s="3">
        <v>10</v>
      </c>
      <c r="G20" s="3">
        <v>10</v>
      </c>
      <c r="H20" s="5">
        <v>0.9</v>
      </c>
      <c r="I20" s="4">
        <f>E20*H20</f>
        <v>0.9</v>
      </c>
      <c r="J20" s="10" t="s">
        <v>70</v>
      </c>
    </row>
    <row r="21" spans="1:10" ht="201.6" customHeight="1" x14ac:dyDescent="0.3">
      <c r="A21" s="18"/>
      <c r="B21" s="20" t="s">
        <v>71</v>
      </c>
      <c r="C21" s="10" t="s">
        <v>14</v>
      </c>
      <c r="D21" s="3" t="s">
        <v>59</v>
      </c>
      <c r="E21" s="4">
        <f>F21/G21</f>
        <v>0.9</v>
      </c>
      <c r="F21" s="3">
        <v>9</v>
      </c>
      <c r="G21" s="3">
        <v>10</v>
      </c>
      <c r="H21" s="5">
        <v>0.9</v>
      </c>
      <c r="I21" s="4">
        <f>E21*H21</f>
        <v>0.81</v>
      </c>
      <c r="J21" s="10" t="s">
        <v>72</v>
      </c>
    </row>
    <row r="22" spans="1:10" ht="199.2" customHeight="1" x14ac:dyDescent="0.3">
      <c r="A22" s="18"/>
      <c r="B22" s="18"/>
      <c r="C22" s="10" t="s">
        <v>15</v>
      </c>
      <c r="D22" s="3" t="s">
        <v>59</v>
      </c>
      <c r="E22" s="4">
        <f>F22/G22</f>
        <v>1</v>
      </c>
      <c r="F22" s="3">
        <v>8</v>
      </c>
      <c r="G22" s="3">
        <v>8</v>
      </c>
      <c r="H22" s="5">
        <v>0.9</v>
      </c>
      <c r="I22" s="4">
        <f>E22*H22</f>
        <v>0.9</v>
      </c>
      <c r="J22" s="10" t="s">
        <v>73</v>
      </c>
    </row>
    <row r="23" spans="1:10" ht="189.6" customHeight="1" x14ac:dyDescent="0.3">
      <c r="A23" s="18"/>
      <c r="B23" s="10" t="s">
        <v>74</v>
      </c>
      <c r="C23" s="10" t="s">
        <v>16</v>
      </c>
      <c r="D23" s="3" t="s">
        <v>52</v>
      </c>
      <c r="E23" s="4">
        <f>1-(F23/G23)</f>
        <v>0.9</v>
      </c>
      <c r="F23" s="3">
        <v>1</v>
      </c>
      <c r="G23" s="3">
        <v>10</v>
      </c>
      <c r="H23" s="5">
        <v>0.9</v>
      </c>
      <c r="I23" s="4">
        <f>E23*H23</f>
        <v>0.81</v>
      </c>
      <c r="J23" s="10" t="s">
        <v>75</v>
      </c>
    </row>
    <row r="24" spans="1:10" x14ac:dyDescent="0.3">
      <c r="A24" s="2"/>
      <c r="H24" s="5">
        <v>0.9</v>
      </c>
      <c r="I24" s="6"/>
    </row>
    <row r="25" spans="1:10" x14ac:dyDescent="0.3">
      <c r="A25" s="9"/>
      <c r="B25" s="8"/>
      <c r="C25" s="8"/>
      <c r="H25" s="5">
        <v>0.9</v>
      </c>
    </row>
    <row r="26" spans="1:10" x14ac:dyDescent="0.3">
      <c r="A26" s="9"/>
      <c r="B26" s="8"/>
      <c r="C26" s="8"/>
      <c r="H26" s="5">
        <v>0.9</v>
      </c>
    </row>
    <row r="27" spans="1:10" x14ac:dyDescent="0.3">
      <c r="A27" s="9"/>
      <c r="B27" s="8"/>
      <c r="C27" s="8"/>
      <c r="H27" s="5">
        <v>0.9</v>
      </c>
    </row>
    <row r="28" spans="1:10" x14ac:dyDescent="0.3">
      <c r="A28" s="9"/>
      <c r="B28" s="8"/>
      <c r="H28" s="5">
        <v>0.9</v>
      </c>
    </row>
    <row r="29" spans="1:10" x14ac:dyDescent="0.3">
      <c r="A29" s="9"/>
      <c r="B29" s="8"/>
      <c r="H29" s="5">
        <v>0.9</v>
      </c>
    </row>
    <row r="30" spans="1:10" x14ac:dyDescent="0.3">
      <c r="A30" s="9"/>
      <c r="B30" s="8"/>
      <c r="H30" s="5">
        <v>0.9</v>
      </c>
    </row>
    <row r="31" spans="1:10" x14ac:dyDescent="0.3">
      <c r="A31" s="9"/>
      <c r="B31" s="8"/>
      <c r="H31" s="5">
        <v>0.9</v>
      </c>
    </row>
    <row r="32" spans="1:10" x14ac:dyDescent="0.3">
      <c r="A32" s="9"/>
      <c r="B32" s="8"/>
      <c r="H32" s="5">
        <v>0.9</v>
      </c>
    </row>
    <row r="33" spans="1:8" x14ac:dyDescent="0.3">
      <c r="A33" s="9"/>
      <c r="B33" s="8"/>
      <c r="H33" s="5">
        <v>0.9</v>
      </c>
    </row>
    <row r="34" spans="1:8" x14ac:dyDescent="0.3">
      <c r="A34" s="9"/>
      <c r="B34" s="8"/>
      <c r="H34" s="5">
        <v>0.9</v>
      </c>
    </row>
    <row r="35" spans="1:8" x14ac:dyDescent="0.3">
      <c r="A35" s="9"/>
      <c r="B35" s="8"/>
      <c r="H35" s="5">
        <v>0.9</v>
      </c>
    </row>
    <row r="36" spans="1:8" x14ac:dyDescent="0.3">
      <c r="H36" s="5">
        <v>0.9</v>
      </c>
    </row>
    <row r="37" spans="1:8" x14ac:dyDescent="0.3">
      <c r="H37" s="5">
        <v>0.9</v>
      </c>
    </row>
    <row r="38" spans="1:8" x14ac:dyDescent="0.3">
      <c r="H38" s="5">
        <v>0.9</v>
      </c>
    </row>
    <row r="39" spans="1:8" x14ac:dyDescent="0.3">
      <c r="H39" s="5">
        <v>0.9</v>
      </c>
    </row>
    <row r="40" spans="1:8" x14ac:dyDescent="0.3">
      <c r="H40" s="5">
        <v>0.9</v>
      </c>
    </row>
    <row r="41" spans="1:8" x14ac:dyDescent="0.3">
      <c r="H41" s="5">
        <v>0.9</v>
      </c>
    </row>
    <row r="42" spans="1:8" x14ac:dyDescent="0.3">
      <c r="H42" s="5">
        <v>0.9</v>
      </c>
    </row>
    <row r="43" spans="1:8" x14ac:dyDescent="0.3">
      <c r="H43" s="5">
        <v>0.9</v>
      </c>
    </row>
    <row r="44" spans="1:8" x14ac:dyDescent="0.3">
      <c r="H44" s="5">
        <v>0.9</v>
      </c>
    </row>
    <row r="45" spans="1:8" x14ac:dyDescent="0.3">
      <c r="H45" s="5">
        <v>0.9</v>
      </c>
    </row>
    <row r="46" spans="1:8" x14ac:dyDescent="0.3">
      <c r="H46" s="5">
        <v>0.9</v>
      </c>
    </row>
  </sheetData>
  <mergeCells count="8">
    <mergeCell ref="B9:B10"/>
    <mergeCell ref="A9:A10"/>
    <mergeCell ref="A2:A5"/>
    <mergeCell ref="A19:A23"/>
    <mergeCell ref="B2:B5"/>
    <mergeCell ref="B21:B22"/>
    <mergeCell ref="B19:B20"/>
    <mergeCell ref="A14:A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Normal="100" workbookViewId="0">
      <pane ySplit="3" topLeftCell="A4" activePane="bottomLeft" state="frozen"/>
      <selection pane="bottomLeft" activeCell="D25" sqref="D25"/>
    </sheetView>
  </sheetViews>
  <sheetFormatPr baseColWidth="10" defaultColWidth="8.88671875" defaultRowHeight="14.4" x14ac:dyDescent="0.3"/>
  <cols>
    <col min="1" max="1" width="22" customWidth="1"/>
    <col min="2" max="2" width="43" customWidth="1"/>
    <col min="3" max="4" width="12" customWidth="1"/>
    <col min="5" max="5" width="14" customWidth="1"/>
  </cols>
  <sheetData>
    <row r="1" spans="1:5" ht="15.6" customHeight="1" x14ac:dyDescent="0.3">
      <c r="A1" s="23" t="s">
        <v>96</v>
      </c>
    </row>
    <row r="3" spans="1:5" x14ac:dyDescent="0.3">
      <c r="A3" s="12" t="s">
        <v>41</v>
      </c>
      <c r="B3" s="12" t="s">
        <v>76</v>
      </c>
      <c r="C3" s="12" t="s">
        <v>1</v>
      </c>
      <c r="D3" s="12" t="s">
        <v>2</v>
      </c>
      <c r="E3" s="12" t="s">
        <v>3</v>
      </c>
    </row>
    <row r="4" spans="1:5" x14ac:dyDescent="0.3">
      <c r="A4" s="13" t="s">
        <v>50</v>
      </c>
      <c r="B4" s="13" t="s">
        <v>77</v>
      </c>
      <c r="C4" s="14">
        <f>IF(ISNUMBER(D4),CARACTERISTICAS!H2,"")</f>
        <v>0.9</v>
      </c>
      <c r="D4" s="15">
        <f>CARACTERISTICAS!I6</f>
        <v>0.81409090909090909</v>
      </c>
      <c r="E4" s="13" t="str">
        <f t="shared" ref="E4:E21" si="0">IF(ISNUMBER(D4),"Medido","Pendiente")</f>
        <v>Medido</v>
      </c>
    </row>
    <row r="5" spans="1:5" x14ac:dyDescent="0.3">
      <c r="A5" s="13" t="s">
        <v>50</v>
      </c>
      <c r="B5" s="13" t="s">
        <v>78</v>
      </c>
      <c r="C5" s="14">
        <f>IF(ISNUMBER(D5),CARACTERISTICAS!H9,"")</f>
        <v>0.9</v>
      </c>
      <c r="D5" s="15">
        <f>CARACTERISTICAS!I11</f>
        <v>0.81</v>
      </c>
      <c r="E5" s="13" t="str">
        <f t="shared" si="0"/>
        <v>Medido</v>
      </c>
    </row>
    <row r="6" spans="1:5" x14ac:dyDescent="0.3">
      <c r="A6" s="13" t="s">
        <v>62</v>
      </c>
      <c r="B6" s="13" t="s">
        <v>79</v>
      </c>
      <c r="C6" s="14">
        <f>IF(ISNUMBER(D6),CARACTERISTICAS!H14,"")</f>
        <v>0.9</v>
      </c>
      <c r="D6" s="15">
        <f>CARACTERISTICAS!I14</f>
        <v>0.72000000000000008</v>
      </c>
      <c r="E6" s="13" t="str">
        <f t="shared" si="0"/>
        <v>Medido</v>
      </c>
    </row>
    <row r="7" spans="1:5" x14ac:dyDescent="0.3">
      <c r="A7" s="13" t="s">
        <v>62</v>
      </c>
      <c r="B7" s="13" t="s">
        <v>80</v>
      </c>
      <c r="C7" s="14">
        <f>IF(ISNUMBER(D7),CARACTERISTICAS!H15,"")</f>
        <v>0.9</v>
      </c>
      <c r="D7" s="15">
        <f>CARACTERISTICAS!I15</f>
        <v>0.72000000000000008</v>
      </c>
      <c r="E7" s="13" t="str">
        <f t="shared" si="0"/>
        <v>Medido</v>
      </c>
    </row>
    <row r="8" spans="1:5" x14ac:dyDescent="0.3">
      <c r="A8" s="13" t="s">
        <v>67</v>
      </c>
      <c r="B8" s="13" t="s">
        <v>81</v>
      </c>
      <c r="C8" s="14">
        <f>IF(ISNUMBER(D8),CARACTERISTICAS!H19,"")</f>
        <v>0.9</v>
      </c>
      <c r="D8" s="15">
        <f>AVERAGE(CARACTERISTICAS!I19,CARACTERISTICAS!I20)</f>
        <v>0.85499999999999998</v>
      </c>
      <c r="E8" s="13" t="str">
        <f t="shared" si="0"/>
        <v>Medido</v>
      </c>
    </row>
    <row r="9" spans="1:5" x14ac:dyDescent="0.3">
      <c r="A9" s="13" t="s">
        <v>67</v>
      </c>
      <c r="B9" s="13" t="s">
        <v>82</v>
      </c>
      <c r="C9" s="14">
        <f>IF(ISNUMBER(D9),CARACTERISTICAS!H21,"")</f>
        <v>0.9</v>
      </c>
      <c r="D9" s="15">
        <f>AVERAGE(CARACTERISTICAS!I21,CARACTERISTICAS!I22)</f>
        <v>0.85499999999999998</v>
      </c>
      <c r="E9" s="13" t="str">
        <f t="shared" si="0"/>
        <v>Medido</v>
      </c>
    </row>
    <row r="10" spans="1:5" x14ac:dyDescent="0.3">
      <c r="A10" s="13" t="s">
        <v>67</v>
      </c>
      <c r="B10" s="13" t="s">
        <v>16</v>
      </c>
      <c r="C10" s="14">
        <f>IF(ISNUMBER(D10),CARACTERISTICAS!H23,"")</f>
        <v>0.9</v>
      </c>
      <c r="D10" s="15">
        <f>CARACTERISTICAS!I23</f>
        <v>0.81</v>
      </c>
      <c r="E10" s="13" t="str">
        <f t="shared" si="0"/>
        <v>Medido</v>
      </c>
    </row>
    <row r="11" spans="1:5" x14ac:dyDescent="0.3">
      <c r="A11" s="13" t="s">
        <v>83</v>
      </c>
      <c r="B11" s="13" t="s">
        <v>84</v>
      </c>
      <c r="C11" s="14">
        <f t="shared" ref="C11:C21" si="1">IF(ISNUMBER(D11),0.9,"")</f>
        <v>0.9</v>
      </c>
      <c r="D11" s="15">
        <f>CARACTERISTICAS!D12</f>
        <v>0</v>
      </c>
      <c r="E11" s="13" t="str">
        <f t="shared" si="0"/>
        <v>Medido</v>
      </c>
    </row>
    <row r="12" spans="1:5" x14ac:dyDescent="0.3">
      <c r="A12" s="13" t="s">
        <v>83</v>
      </c>
      <c r="B12" s="13" t="s">
        <v>85</v>
      </c>
      <c r="C12" s="14">
        <f t="shared" si="1"/>
        <v>0.9</v>
      </c>
      <c r="D12" s="15">
        <f>CARACTERISTICAS!I25</f>
        <v>0</v>
      </c>
      <c r="E12" s="13" t="str">
        <f t="shared" si="0"/>
        <v>Medido</v>
      </c>
    </row>
    <row r="13" spans="1:5" x14ac:dyDescent="0.3">
      <c r="A13" s="13" t="s">
        <v>86</v>
      </c>
      <c r="B13" s="13" t="s">
        <v>87</v>
      </c>
      <c r="C13" s="14">
        <f t="shared" si="1"/>
        <v>0.9</v>
      </c>
      <c r="D13" s="15">
        <f>CARACTERISTICAS!I26</f>
        <v>0</v>
      </c>
      <c r="E13" s="13" t="str">
        <f t="shared" si="0"/>
        <v>Medido</v>
      </c>
    </row>
    <row r="14" spans="1:5" x14ac:dyDescent="0.3">
      <c r="A14" s="13" t="s">
        <v>86</v>
      </c>
      <c r="B14" s="13" t="s">
        <v>26</v>
      </c>
      <c r="C14" s="14">
        <f t="shared" si="1"/>
        <v>0.9</v>
      </c>
      <c r="D14" s="15">
        <f>CARACTERISTICAS!I27</f>
        <v>0</v>
      </c>
      <c r="E14" s="13" t="str">
        <f t="shared" si="0"/>
        <v>Medido</v>
      </c>
    </row>
    <row r="15" spans="1:5" x14ac:dyDescent="0.3">
      <c r="A15" s="13" t="s">
        <v>86</v>
      </c>
      <c r="B15" s="13" t="s">
        <v>27</v>
      </c>
      <c r="C15" s="14">
        <f t="shared" si="1"/>
        <v>0.9</v>
      </c>
      <c r="D15" s="15">
        <f>CARACTERISTICAS!I28</f>
        <v>0</v>
      </c>
      <c r="E15" s="13" t="str">
        <f t="shared" si="0"/>
        <v>Medido</v>
      </c>
    </row>
    <row r="16" spans="1:5" x14ac:dyDescent="0.3">
      <c r="A16" s="13" t="s">
        <v>88</v>
      </c>
      <c r="B16" s="13" t="s">
        <v>89</v>
      </c>
      <c r="C16" s="14">
        <f t="shared" si="1"/>
        <v>0.9</v>
      </c>
      <c r="D16" s="15">
        <f>CARACTERISTICAS!I29</f>
        <v>0</v>
      </c>
      <c r="E16" s="13" t="str">
        <f t="shared" si="0"/>
        <v>Medido</v>
      </c>
    </row>
    <row r="17" spans="1:5" x14ac:dyDescent="0.3">
      <c r="A17" s="13" t="s">
        <v>88</v>
      </c>
      <c r="B17" s="13" t="s">
        <v>90</v>
      </c>
      <c r="C17" s="14">
        <f t="shared" si="1"/>
        <v>0.9</v>
      </c>
      <c r="D17" s="15">
        <f>CARACTERISTICAS!I30</f>
        <v>0</v>
      </c>
      <c r="E17" s="13" t="str">
        <f t="shared" si="0"/>
        <v>Medido</v>
      </c>
    </row>
    <row r="18" spans="1:5" x14ac:dyDescent="0.3">
      <c r="A18" s="13" t="s">
        <v>88</v>
      </c>
      <c r="B18" s="13" t="s">
        <v>91</v>
      </c>
      <c r="C18" s="14">
        <f t="shared" si="1"/>
        <v>0.9</v>
      </c>
      <c r="D18" s="15">
        <f>CARACTERISTICAS!I31</f>
        <v>0</v>
      </c>
      <c r="E18" s="13" t="str">
        <f t="shared" si="0"/>
        <v>Medido</v>
      </c>
    </row>
    <row r="19" spans="1:5" x14ac:dyDescent="0.3">
      <c r="A19" s="13" t="s">
        <v>88</v>
      </c>
      <c r="B19" s="13" t="s">
        <v>33</v>
      </c>
      <c r="C19" s="14">
        <f t="shared" si="1"/>
        <v>0.9</v>
      </c>
      <c r="D19" s="15">
        <f>CARACTERISTICAS!I32</f>
        <v>0</v>
      </c>
      <c r="E19" s="13" t="str">
        <f t="shared" si="0"/>
        <v>Medido</v>
      </c>
    </row>
    <row r="20" spans="1:5" x14ac:dyDescent="0.3">
      <c r="A20" s="13" t="s">
        <v>92</v>
      </c>
      <c r="B20" s="13" t="s">
        <v>93</v>
      </c>
      <c r="C20" s="14">
        <f t="shared" si="1"/>
        <v>0.9</v>
      </c>
      <c r="D20" s="15">
        <f>CARACTERISTICAS!I33</f>
        <v>0</v>
      </c>
      <c r="E20" s="13" t="str">
        <f t="shared" si="0"/>
        <v>Medido</v>
      </c>
    </row>
    <row r="21" spans="1:5" x14ac:dyDescent="0.3">
      <c r="A21" s="13" t="s">
        <v>92</v>
      </c>
      <c r="B21" s="13" t="s">
        <v>94</v>
      </c>
      <c r="C21" s="14">
        <f t="shared" si="1"/>
        <v>0.9</v>
      </c>
      <c r="D21" s="15">
        <f>CARACTERISTICAS!I34</f>
        <v>0</v>
      </c>
      <c r="E21" s="13" t="str">
        <f t="shared" si="0"/>
        <v>Medido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tabSelected="1" workbookViewId="0">
      <pane ySplit="3" topLeftCell="A4" activePane="bottomLeft" state="frozen"/>
      <selection pane="bottomLeft" activeCell="P10" sqref="P10"/>
    </sheetView>
  </sheetViews>
  <sheetFormatPr baseColWidth="10" defaultRowHeight="14.4" x14ac:dyDescent="0.3"/>
  <cols>
    <col min="1" max="1" width="58" customWidth="1"/>
    <col min="2" max="3" width="12" customWidth="1"/>
    <col min="4" max="4" width="14" customWidth="1"/>
  </cols>
  <sheetData>
    <row r="1" spans="1:4" x14ac:dyDescent="0.3">
      <c r="A1" s="22" t="s">
        <v>95</v>
      </c>
    </row>
    <row r="3" spans="1:4" x14ac:dyDescent="0.3">
      <c r="A3" s="24" t="s">
        <v>0</v>
      </c>
      <c r="B3" s="24" t="s">
        <v>1</v>
      </c>
      <c r="C3" s="24" t="s">
        <v>2</v>
      </c>
      <c r="D3" s="24" t="s">
        <v>3</v>
      </c>
    </row>
    <row r="4" spans="1:4" x14ac:dyDescent="0.3">
      <c r="A4" s="16" t="s">
        <v>4</v>
      </c>
      <c r="B4" s="21">
        <f>CARACTERISTICAS!H2</f>
        <v>0.9</v>
      </c>
      <c r="C4" s="25">
        <f>CARACTERISTICAS!I2</f>
        <v>0.73636363636363633</v>
      </c>
      <c r="D4" s="16" t="str">
        <f t="shared" ref="D4:D16" si="0">IF(ISNUMBER(C4),"Medido","Pendiente")</f>
        <v>Medido</v>
      </c>
    </row>
    <row r="5" spans="1:4" x14ac:dyDescent="0.3">
      <c r="A5" s="16" t="s">
        <v>5</v>
      </c>
      <c r="B5" s="21">
        <f>CARACTERISTICAS!H3</f>
        <v>0.9</v>
      </c>
      <c r="C5" s="25">
        <f>CARACTERISTICAS!I3</f>
        <v>0.81</v>
      </c>
      <c r="D5" s="16" t="str">
        <f t="shared" si="0"/>
        <v>Medido</v>
      </c>
    </row>
    <row r="6" spans="1:4" x14ac:dyDescent="0.3">
      <c r="A6" s="16" t="s">
        <v>6</v>
      </c>
      <c r="B6" s="21">
        <f>CARACTERISTICAS!H4</f>
        <v>0.9</v>
      </c>
      <c r="C6" s="25">
        <f>CARACTERISTICAS!I4</f>
        <v>0.81</v>
      </c>
      <c r="D6" s="16" t="str">
        <f t="shared" si="0"/>
        <v>Medido</v>
      </c>
    </row>
    <row r="7" spans="1:4" x14ac:dyDescent="0.3">
      <c r="A7" s="16" t="s">
        <v>7</v>
      </c>
      <c r="B7" s="21">
        <f>CARACTERISTICAS!H5</f>
        <v>0.9</v>
      </c>
      <c r="C7" s="25">
        <f>CARACTERISTICAS!I5</f>
        <v>0.9</v>
      </c>
      <c r="D7" s="16" t="str">
        <f t="shared" si="0"/>
        <v>Medido</v>
      </c>
    </row>
    <row r="8" spans="1:4" x14ac:dyDescent="0.3">
      <c r="A8" s="16" t="s">
        <v>8</v>
      </c>
      <c r="B8" s="21">
        <f>CARACTERISTICAS!H9</f>
        <v>0.9</v>
      </c>
      <c r="C8" s="25">
        <f>CARACTERISTICAS!I9</f>
        <v>0.72000000000000008</v>
      </c>
      <c r="D8" s="16" t="str">
        <f t="shared" si="0"/>
        <v>Medido</v>
      </c>
    </row>
    <row r="9" spans="1:4" x14ac:dyDescent="0.3">
      <c r="A9" s="16" t="s">
        <v>9</v>
      </c>
      <c r="B9" s="21">
        <f>CARACTERISTICAS!H10</f>
        <v>0.9</v>
      </c>
      <c r="C9" s="25">
        <f>CARACTERISTICAS!I10</f>
        <v>0.9</v>
      </c>
      <c r="D9" s="16" t="str">
        <f t="shared" si="0"/>
        <v>Medido</v>
      </c>
    </row>
    <row r="10" spans="1:4" x14ac:dyDescent="0.3">
      <c r="A10" s="16" t="s">
        <v>10</v>
      </c>
      <c r="B10" s="21">
        <f>CARACTERISTICAS!H14</f>
        <v>0.9</v>
      </c>
      <c r="C10" s="25">
        <f>CARACTERISTICAS!I14</f>
        <v>0.72000000000000008</v>
      </c>
      <c r="D10" s="16" t="str">
        <f t="shared" si="0"/>
        <v>Medido</v>
      </c>
    </row>
    <row r="11" spans="1:4" x14ac:dyDescent="0.3">
      <c r="A11" s="16" t="s">
        <v>11</v>
      </c>
      <c r="B11" s="21">
        <f>CARACTERISTICAS!H15</f>
        <v>0.9</v>
      </c>
      <c r="C11" s="25">
        <f>CARACTERISTICAS!I15</f>
        <v>0.72000000000000008</v>
      </c>
      <c r="D11" s="16" t="str">
        <f t="shared" si="0"/>
        <v>Medido</v>
      </c>
    </row>
    <row r="12" spans="1:4" x14ac:dyDescent="0.3">
      <c r="A12" s="16" t="s">
        <v>12</v>
      </c>
      <c r="B12" s="21">
        <f>CARACTERISTICAS!H19</f>
        <v>0.9</v>
      </c>
      <c r="C12" s="25">
        <f>CARACTERISTICAS!I19</f>
        <v>0.81</v>
      </c>
      <c r="D12" s="16" t="str">
        <f t="shared" si="0"/>
        <v>Medido</v>
      </c>
    </row>
    <row r="13" spans="1:4" x14ac:dyDescent="0.3">
      <c r="A13" s="16" t="s">
        <v>13</v>
      </c>
      <c r="B13" s="21">
        <f>CARACTERISTICAS!H20</f>
        <v>0.9</v>
      </c>
      <c r="C13" s="25">
        <f>CARACTERISTICAS!I20</f>
        <v>0.9</v>
      </c>
      <c r="D13" s="16" t="str">
        <f t="shared" si="0"/>
        <v>Medido</v>
      </c>
    </row>
    <row r="14" spans="1:4" x14ac:dyDescent="0.3">
      <c r="A14" s="16" t="s">
        <v>14</v>
      </c>
      <c r="B14" s="21">
        <f>CARACTERISTICAS!H21</f>
        <v>0.9</v>
      </c>
      <c r="C14" s="25">
        <f>CARACTERISTICAS!I21</f>
        <v>0.81</v>
      </c>
      <c r="D14" s="16" t="str">
        <f t="shared" si="0"/>
        <v>Medido</v>
      </c>
    </row>
    <row r="15" spans="1:4" x14ac:dyDescent="0.3">
      <c r="A15" s="16" t="s">
        <v>15</v>
      </c>
      <c r="B15" s="21">
        <f>CARACTERISTICAS!H22</f>
        <v>0.9</v>
      </c>
      <c r="C15" s="25">
        <f>CARACTERISTICAS!I22</f>
        <v>0.9</v>
      </c>
      <c r="D15" s="16" t="str">
        <f t="shared" si="0"/>
        <v>Medido</v>
      </c>
    </row>
    <row r="16" spans="1:4" x14ac:dyDescent="0.3">
      <c r="A16" s="16" t="s">
        <v>16</v>
      </c>
      <c r="B16" s="21">
        <f>CARACTERISTICAS!H23</f>
        <v>0.9</v>
      </c>
      <c r="C16" s="25">
        <f>CARACTERISTICAS!I23</f>
        <v>0.81</v>
      </c>
      <c r="D16" s="16" t="str">
        <f t="shared" si="0"/>
        <v>Medido</v>
      </c>
    </row>
    <row r="17" spans="1:4" x14ac:dyDescent="0.3">
      <c r="A17" s="16" t="s">
        <v>17</v>
      </c>
      <c r="B17" s="16">
        <f>CARACTERISTICAS!H24</f>
        <v>0.9</v>
      </c>
      <c r="C17" s="26">
        <v>0</v>
      </c>
      <c r="D17" s="16" t="s">
        <v>18</v>
      </c>
    </row>
    <row r="18" spans="1:4" x14ac:dyDescent="0.3">
      <c r="A18" s="16" t="s">
        <v>19</v>
      </c>
      <c r="B18" s="16">
        <f>CARACTERISTICAS!H25</f>
        <v>0.9</v>
      </c>
      <c r="C18" s="26">
        <f>CARACTERISTICAS!I25</f>
        <v>0</v>
      </c>
      <c r="D18" s="16" t="s">
        <v>18</v>
      </c>
    </row>
    <row r="19" spans="1:4" x14ac:dyDescent="0.3">
      <c r="A19" s="16" t="s">
        <v>20</v>
      </c>
      <c r="B19" s="16">
        <f>CARACTERISTICAS!H26</f>
        <v>0.9</v>
      </c>
      <c r="C19" s="26">
        <f>CARACTERISTICAS!I26</f>
        <v>0</v>
      </c>
      <c r="D19" s="16" t="s">
        <v>18</v>
      </c>
    </row>
    <row r="20" spans="1:4" x14ac:dyDescent="0.3">
      <c r="A20" s="16" t="s">
        <v>21</v>
      </c>
      <c r="B20" s="16">
        <f>CARACTERISTICAS!H27</f>
        <v>0.9</v>
      </c>
      <c r="C20" s="26">
        <f>CARACTERISTICAS!I27</f>
        <v>0</v>
      </c>
      <c r="D20" s="16" t="s">
        <v>18</v>
      </c>
    </row>
    <row r="21" spans="1:4" x14ac:dyDescent="0.3">
      <c r="A21" s="16" t="s">
        <v>22</v>
      </c>
      <c r="B21" s="16">
        <f>CARACTERISTICAS!H28</f>
        <v>0.9</v>
      </c>
      <c r="C21" s="26">
        <f>CARACTERISTICAS!I28</f>
        <v>0</v>
      </c>
      <c r="D21" s="16" t="s">
        <v>18</v>
      </c>
    </row>
    <row r="22" spans="1:4" x14ac:dyDescent="0.3">
      <c r="A22" s="16" t="s">
        <v>23</v>
      </c>
      <c r="B22" s="16">
        <f>CARACTERISTICAS!H29</f>
        <v>0.9</v>
      </c>
      <c r="C22" s="26">
        <f>CARACTERISTICAS!I29</f>
        <v>0</v>
      </c>
      <c r="D22" s="16" t="s">
        <v>18</v>
      </c>
    </row>
    <row r="23" spans="1:4" x14ac:dyDescent="0.3">
      <c r="A23" s="16" t="s">
        <v>24</v>
      </c>
      <c r="B23" s="16">
        <f>CARACTERISTICAS!H30</f>
        <v>0.9</v>
      </c>
      <c r="C23" s="26">
        <f>CARACTERISTICAS!I30</f>
        <v>0</v>
      </c>
      <c r="D23" s="16" t="s">
        <v>18</v>
      </c>
    </row>
    <row r="24" spans="1:4" x14ac:dyDescent="0.3">
      <c r="A24" s="16" t="s">
        <v>25</v>
      </c>
      <c r="B24" s="16">
        <f>CARACTERISTICAS!H31</f>
        <v>0.9</v>
      </c>
      <c r="C24" s="26">
        <f>CARACTERISTICAS!I31</f>
        <v>0</v>
      </c>
      <c r="D24" s="16" t="s">
        <v>18</v>
      </c>
    </row>
    <row r="25" spans="1:4" x14ac:dyDescent="0.3">
      <c r="A25" s="16" t="s">
        <v>26</v>
      </c>
      <c r="B25" s="16">
        <f>CARACTERISTICAS!H32</f>
        <v>0.9</v>
      </c>
      <c r="C25" s="26">
        <f>CARACTERISTICAS!I32</f>
        <v>0</v>
      </c>
      <c r="D25" s="16" t="s">
        <v>18</v>
      </c>
    </row>
    <row r="26" spans="1:4" x14ac:dyDescent="0.3">
      <c r="A26" s="16" t="s">
        <v>27</v>
      </c>
      <c r="B26" s="16">
        <f>CARACTERISTICAS!H33</f>
        <v>0.9</v>
      </c>
      <c r="C26" s="26">
        <f>CARACTERISTICAS!I33</f>
        <v>0</v>
      </c>
      <c r="D26" s="16" t="s">
        <v>18</v>
      </c>
    </row>
    <row r="27" spans="1:4" x14ac:dyDescent="0.3">
      <c r="A27" s="16" t="s">
        <v>28</v>
      </c>
      <c r="B27" s="16">
        <f>CARACTERISTICAS!H34</f>
        <v>0.9</v>
      </c>
      <c r="C27" s="26">
        <f>CARACTERISTICAS!I34</f>
        <v>0</v>
      </c>
      <c r="D27" s="16" t="s">
        <v>18</v>
      </c>
    </row>
    <row r="28" spans="1:4" x14ac:dyDescent="0.3">
      <c r="A28" s="16" t="s">
        <v>29</v>
      </c>
      <c r="B28" s="16">
        <f>CARACTERISTICAS!H35</f>
        <v>0.9</v>
      </c>
      <c r="C28" s="26">
        <f>CARACTERISTICAS!I35</f>
        <v>0</v>
      </c>
      <c r="D28" s="16" t="s">
        <v>18</v>
      </c>
    </row>
    <row r="29" spans="1:4" x14ac:dyDescent="0.3">
      <c r="A29" s="16" t="s">
        <v>30</v>
      </c>
      <c r="B29" s="16">
        <f>CARACTERISTICAS!H36</f>
        <v>0.9</v>
      </c>
      <c r="C29" s="26">
        <f>CARACTERISTICAS!I36</f>
        <v>0</v>
      </c>
      <c r="D29" s="16" t="s">
        <v>18</v>
      </c>
    </row>
    <row r="30" spans="1:4" x14ac:dyDescent="0.3">
      <c r="A30" s="16" t="s">
        <v>31</v>
      </c>
      <c r="B30" s="16">
        <f>CARACTERISTICAS!H37</f>
        <v>0.9</v>
      </c>
      <c r="C30" s="26">
        <f>CARACTERISTICAS!I37</f>
        <v>0</v>
      </c>
      <c r="D30" s="16" t="s">
        <v>18</v>
      </c>
    </row>
    <row r="31" spans="1:4" x14ac:dyDescent="0.3">
      <c r="A31" s="16" t="s">
        <v>32</v>
      </c>
      <c r="B31" s="16">
        <f>CARACTERISTICAS!H38</f>
        <v>0.9</v>
      </c>
      <c r="C31" s="26">
        <f>CARACTERISTICAS!I38</f>
        <v>0</v>
      </c>
      <c r="D31" s="16" t="s">
        <v>18</v>
      </c>
    </row>
    <row r="32" spans="1:4" x14ac:dyDescent="0.3">
      <c r="A32" s="16" t="s">
        <v>33</v>
      </c>
      <c r="B32" s="16">
        <f>CARACTERISTICAS!H39</f>
        <v>0.9</v>
      </c>
      <c r="C32" s="26">
        <f>CARACTERISTICAS!I39</f>
        <v>0</v>
      </c>
      <c r="D32" s="16" t="s">
        <v>18</v>
      </c>
    </row>
    <row r="33" spans="1:4" x14ac:dyDescent="0.3">
      <c r="A33" s="16" t="s">
        <v>34</v>
      </c>
      <c r="B33" s="16">
        <f>CARACTERISTICAS!H40</f>
        <v>0.9</v>
      </c>
      <c r="C33" s="26">
        <f>CARACTERISTICAS!I40</f>
        <v>0</v>
      </c>
      <c r="D33" s="16" t="s">
        <v>18</v>
      </c>
    </row>
    <row r="34" spans="1:4" x14ac:dyDescent="0.3">
      <c r="A34" s="16" t="s">
        <v>35</v>
      </c>
      <c r="B34" s="16">
        <f>CARACTERISTICAS!H41</f>
        <v>0.9</v>
      </c>
      <c r="C34" s="26">
        <f>CARACTERISTICAS!I41</f>
        <v>0</v>
      </c>
      <c r="D34" s="16" t="s">
        <v>18</v>
      </c>
    </row>
    <row r="35" spans="1:4" x14ac:dyDescent="0.3">
      <c r="A35" s="16" t="s">
        <v>36</v>
      </c>
      <c r="B35" s="16">
        <f>CARACTERISTICAS!H42</f>
        <v>0.9</v>
      </c>
      <c r="C35" s="26">
        <f>CARACTERISTICAS!I42</f>
        <v>0</v>
      </c>
      <c r="D35" s="16" t="s">
        <v>18</v>
      </c>
    </row>
    <row r="36" spans="1:4" x14ac:dyDescent="0.3">
      <c r="A36" s="16" t="s">
        <v>37</v>
      </c>
      <c r="B36" s="16">
        <f>CARACTERISTICAS!H43</f>
        <v>0.9</v>
      </c>
      <c r="C36" s="26">
        <f>CARACTERISTICAS!I43</f>
        <v>0</v>
      </c>
      <c r="D36" s="16" t="s">
        <v>18</v>
      </c>
    </row>
    <row r="37" spans="1:4" x14ac:dyDescent="0.3">
      <c r="A37" s="16" t="s">
        <v>38</v>
      </c>
      <c r="B37" s="16">
        <f>CARACTERISTICAS!H44</f>
        <v>0.9</v>
      </c>
      <c r="C37" s="26">
        <f>CARACTERISTICAS!I44</f>
        <v>0</v>
      </c>
      <c r="D37" s="16" t="s">
        <v>18</v>
      </c>
    </row>
    <row r="38" spans="1:4" x14ac:dyDescent="0.3">
      <c r="A38" s="16" t="s">
        <v>39</v>
      </c>
      <c r="B38" s="16">
        <f>CARACTERISTICAS!H45</f>
        <v>0.9</v>
      </c>
      <c r="C38" s="26">
        <f>CARACTERISTICAS!I45</f>
        <v>0</v>
      </c>
      <c r="D38" s="16" t="s">
        <v>18</v>
      </c>
    </row>
    <row r="39" spans="1:4" x14ac:dyDescent="0.3">
      <c r="A39" s="16" t="s">
        <v>40</v>
      </c>
      <c r="B39" s="16">
        <f>CARACTERISTICAS!H46</f>
        <v>0.9</v>
      </c>
      <c r="C39" s="26">
        <f>CARACTERISTICAS!I46</f>
        <v>0</v>
      </c>
      <c r="D39" s="16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CARACTERISTICAS</vt:lpstr>
      <vt:lpstr>ARAÑA SUBCARACTERISTICAS</vt:lpstr>
      <vt:lpstr>ARAÑA METRICAS</vt:lpstr>
      <vt:lpstr>'ARAÑA SUBCARACTERISTICAS'!Área_de_impresión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JAHIDEM IGNACIO COBOS BARBOSA</cp:lastModifiedBy>
  <cp:revision>0</cp:revision>
  <dcterms:created xsi:type="dcterms:W3CDTF">2026-09-14T05:49:23Z</dcterms:created>
  <dcterms:modified xsi:type="dcterms:W3CDTF">2026-09-29T21:15:26Z</dcterms:modified>
  <dc:language>en-US</dc:language>
</cp:coreProperties>
</file>